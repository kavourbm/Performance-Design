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6C3B9F58-8FA0-44F2-A576-6BC963AFA3B5}" xr6:coauthVersionLast="47" xr6:coauthVersionMax="47" xr10:uidLastSave="{00000000-0000-0000-0000-000000000000}"/>
  <bookViews>
    <workbookView xWindow="14295" yWindow="0" windowWidth="14610" windowHeight="17505" firstSheet="7" activeTab="9" xr2:uid="{00000000-000D-0000-FFFF-FFFF00000000}"/>
  </bookViews>
  <sheets>
    <sheet name="Altitude Table" sheetId="2" r:id="rId1"/>
    <sheet name="Bede BD-5J Stats" sheetId="3" r:id="rId2"/>
    <sheet name="Numbers (SL)" sheetId="1" r:id="rId3"/>
    <sheet name="Numbers (10K)" sheetId="5" r:id="rId4"/>
    <sheet name="Chart A" sheetId="4" r:id="rId5"/>
    <sheet name="Chart B" sheetId="6" r:id="rId6"/>
    <sheet name="Chart C" sheetId="7" r:id="rId7"/>
    <sheet name="Chart D" sheetId="8" r:id="rId8"/>
    <sheet name="Chart E" sheetId="9" r:id="rId9"/>
    <sheet name="HW8 - Thrust Required" sheetId="12" r:id="rId10"/>
  </sheets>
  <functionGroups builtInGroupCount="19"/>
  <externalReferences>
    <externalReference r:id="rId11"/>
  </externalReferences>
  <definedNames>
    <definedName name="atmos_aspeed" localSheetId="3">Question_1[Speed of Sound (ft/s)]</definedName>
    <definedName name="atmos_aspeed">Question_1[Speed of Sound (ft/s)]</definedName>
    <definedName name="atmos_dr" localSheetId="3">Question_1[Density Ratio]</definedName>
    <definedName name="atmos_dr">Question_1[Density Ratio]</definedName>
    <definedName name="atmos_h" localSheetId="3">Question_1[Altitude (ft)]</definedName>
    <definedName name="atmos_h">Question_1[Altitude (ft)]</definedName>
    <definedName name="atmos_qms" localSheetId="3">Question_1[QMS (lb/ft^2)]</definedName>
    <definedName name="atmos_qms">Question_1[QMS (lb/ft^2)]</definedName>
    <definedName name="atmos_rho" localSheetId="3">Question_1[Density (slug/ft^3)]</definedName>
    <definedName name="atmos_rho">Question_1[Density (slug/ft^3)]</definedName>
    <definedName name="atmos_sqrtdr" localSheetId="3">Question_1[SQRTDR]</definedName>
    <definedName name="atmos_sqrtdr">Question_1[SQRTDR]</definedName>
    <definedName name="atmos_vela" localSheetId="3">Question_1[Speed of Sound (knots)]</definedName>
    <definedName name="atmos_vela">Question_1[Speed of Sound (knots)]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2" i="5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2" i="1"/>
  <c r="E15" i="12"/>
  <c r="D15" i="12"/>
  <c r="E10" i="12"/>
  <c r="D10" i="12"/>
  <c r="E6" i="12"/>
  <c r="D6" i="12"/>
  <c r="E18" i="12" a="1"/>
  <c r="D18" i="12" a="1"/>
  <c r="E13" i="12" a="1"/>
  <c r="D13" i="12" a="1"/>
  <c r="I33" i="5" a="1"/>
  <c r="I10" i="5" a="1"/>
  <c r="I40" i="5" a="1"/>
  <c r="I5" i="5" a="1"/>
  <c r="I11" i="5" a="1"/>
  <c r="I17" i="5" a="1"/>
  <c r="I23" i="5" a="1"/>
  <c r="I29" i="5" a="1"/>
  <c r="I35" i="5" a="1"/>
  <c r="I41" i="5" a="1"/>
  <c r="I47" i="5" a="1"/>
  <c r="I53" i="5" a="1"/>
  <c r="I34" i="5" a="1"/>
  <c r="I6" i="5" a="1"/>
  <c r="I12" i="5" a="1"/>
  <c r="I18" i="5" a="1"/>
  <c r="I24" i="5" a="1"/>
  <c r="I30" i="5" a="1"/>
  <c r="I42" i="5" a="1"/>
  <c r="I48" i="5" a="1"/>
  <c r="I54" i="5" a="1"/>
  <c r="I46" i="5" a="1"/>
  <c r="I36" i="5" a="1"/>
  <c r="I7" i="5" a="1"/>
  <c r="I13" i="5" a="1"/>
  <c r="I19" i="5" a="1"/>
  <c r="I25" i="5" a="1"/>
  <c r="I31" i="5" a="1"/>
  <c r="I37" i="5" a="1"/>
  <c r="I43" i="5" a="1"/>
  <c r="I49" i="5" a="1"/>
  <c r="I55" i="5" a="1"/>
  <c r="I56" i="5" a="1"/>
  <c r="I28" i="5" a="1"/>
  <c r="I8" i="5" a="1"/>
  <c r="I14" i="5" a="1"/>
  <c r="I20" i="5" a="1"/>
  <c r="I26" i="5" a="1"/>
  <c r="I32" i="5" a="1"/>
  <c r="I38" i="5" a="1"/>
  <c r="I44" i="5" a="1"/>
  <c r="I50" i="5" a="1"/>
  <c r="I16" i="5" a="1"/>
  <c r="I52" i="5" a="1"/>
  <c r="I3" i="5" a="1"/>
  <c r="I9" i="5" a="1"/>
  <c r="I15" i="5" a="1"/>
  <c r="I21" i="5" a="1"/>
  <c r="I27" i="5" a="1"/>
  <c r="I39" i="5" a="1"/>
  <c r="I45" i="5" a="1"/>
  <c r="I51" i="5" a="1"/>
  <c r="I4" i="5" a="1"/>
  <c r="I22" i="5" a="1"/>
  <c r="I2" i="5" a="1"/>
  <c r="I3" i="1" a="1"/>
  <c r="I33" i="1" a="1"/>
  <c r="I51" i="1" a="1"/>
  <c r="I10" i="1" a="1"/>
  <c r="I22" i="1" a="1"/>
  <c r="I34" i="1" a="1"/>
  <c r="I52" i="1" a="1"/>
  <c r="I8" i="1" a="1"/>
  <c r="I44" i="1" a="1"/>
  <c r="I46" i="1" a="1"/>
  <c r="I50" i="1" a="1"/>
  <c r="I5" i="1" a="1"/>
  <c r="I11" i="1" a="1"/>
  <c r="I17" i="1" a="1"/>
  <c r="I23" i="1" a="1"/>
  <c r="I29" i="1" a="1"/>
  <c r="I35" i="1" a="1"/>
  <c r="I41" i="1" a="1"/>
  <c r="I47" i="1" a="1"/>
  <c r="I53" i="1" a="1"/>
  <c r="I32" i="1" a="1"/>
  <c r="I12" i="1" a="1"/>
  <c r="I24" i="1" a="1"/>
  <c r="I36" i="1" a="1"/>
  <c r="I48" i="1" a="1"/>
  <c r="I7" i="1" a="1"/>
  <c r="I19" i="1" a="1"/>
  <c r="I37" i="1" a="1"/>
  <c r="I49" i="1" a="1"/>
  <c r="I20" i="1" a="1"/>
  <c r="I56" i="1" a="1"/>
  <c r="I6" i="1" a="1"/>
  <c r="I18" i="1" a="1"/>
  <c r="I30" i="1" a="1"/>
  <c r="I42" i="1" a="1"/>
  <c r="I54" i="1" a="1"/>
  <c r="I13" i="1" a="1"/>
  <c r="I25" i="1" a="1"/>
  <c r="I43" i="1" a="1"/>
  <c r="I55" i="1" a="1"/>
  <c r="I14" i="1" a="1"/>
  <c r="I38" i="1" a="1"/>
  <c r="I31" i="1" a="1"/>
  <c r="I9" i="1" a="1"/>
  <c r="I15" i="1" a="1"/>
  <c r="I21" i="1" a="1"/>
  <c r="I27" i="1" a="1"/>
  <c r="I39" i="1" a="1"/>
  <c r="I45" i="1" a="1"/>
  <c r="I4" i="1" a="1"/>
  <c r="I16" i="1" a="1"/>
  <c r="I28" i="1" a="1"/>
  <c r="I40" i="1" a="1"/>
  <c r="I26" i="1" a="1"/>
  <c r="I2" i="1" a="1"/>
  <c r="E21" i="12" a="1"/>
  <c r="D21" i="12" a="1"/>
  <c r="E22" i="12" a="1"/>
  <c r="D22" i="12" a="1"/>
  <c r="E17" i="12" a="1"/>
  <c r="D17" i="12" a="1"/>
  <c r="E16" i="12" a="1"/>
  <c r="D16" i="12" a="1"/>
  <c r="D11" i="12" a="1"/>
  <c r="E12" i="12" a="1"/>
  <c r="E11" i="12" a="1"/>
  <c r="E8" i="12" a="1"/>
  <c r="D8" i="12" a="1"/>
  <c r="E7" i="12" a="1"/>
  <c r="D7" i="12" a="1"/>
  <c r="B3" i="5" a="1"/>
  <c r="B16" i="5" a="1"/>
  <c r="B35" i="5" a="1"/>
  <c r="B30" i="5" a="1"/>
  <c r="B48" i="5" a="1"/>
  <c r="B19" i="5" a="1"/>
  <c r="B37" i="5" a="1"/>
  <c r="B4" i="5" a="1"/>
  <c r="B10" i="5" a="1"/>
  <c r="B22" i="5" a="1"/>
  <c r="B28" i="5" a="1"/>
  <c r="B34" i="5" a="1"/>
  <c r="B40" i="5" a="1"/>
  <c r="B46" i="5" a="1"/>
  <c r="B52" i="5" a="1"/>
  <c r="B47" i="5" a="1"/>
  <c r="B36" i="5" a="1"/>
  <c r="B54" i="5" a="1"/>
  <c r="B25" i="5" a="1"/>
  <c r="B49" i="5" a="1"/>
  <c r="B11" i="5" a="1"/>
  <c r="B41" i="5" a="1"/>
  <c r="B5" i="5" a="1"/>
  <c r="B17" i="5" a="1"/>
  <c r="B23" i="5" a="1"/>
  <c r="B29" i="5" a="1"/>
  <c r="B53" i="5" a="1"/>
  <c r="B42" i="5" a="1"/>
  <c r="B13" i="5" a="1"/>
  <c r="B31" i="5" a="1"/>
  <c r="B12" i="5" a="1"/>
  <c r="B18" i="5" a="1"/>
  <c r="B24" i="5" a="1"/>
  <c r="B6" i="5" a="1"/>
  <c r="B7" i="5" a="1"/>
  <c r="B43" i="5" a="1"/>
  <c r="B8" i="5" a="1"/>
  <c r="B14" i="5" a="1"/>
  <c r="B20" i="5" a="1"/>
  <c r="B26" i="5" a="1"/>
  <c r="B32" i="5" a="1"/>
  <c r="B38" i="5" a="1"/>
  <c r="B44" i="5" a="1"/>
  <c r="B50" i="5" a="1"/>
  <c r="B56" i="5" a="1"/>
  <c r="B51" i="5" a="1"/>
  <c r="B9" i="5" a="1"/>
  <c r="B15" i="5" a="1"/>
  <c r="B21" i="5" a="1"/>
  <c r="B27" i="5" a="1"/>
  <c r="B33" i="5" a="1"/>
  <c r="B39" i="5" a="1"/>
  <c r="B45" i="5" a="1"/>
  <c r="B55" i="5" a="1"/>
  <c r="B2" i="5" a="1"/>
  <c r="B3" i="1" a="1"/>
  <c r="B27" i="1" a="1"/>
  <c r="B33" i="1" a="1"/>
  <c r="B39" i="1" a="1"/>
  <c r="B45" i="1" a="1"/>
  <c r="B51" i="1" a="1"/>
  <c r="B56" i="1" a="1"/>
  <c r="B4" i="1" a="1"/>
  <c r="B10" i="1" a="1"/>
  <c r="B16" i="1" a="1"/>
  <c r="B22" i="1" a="1"/>
  <c r="B28" i="1" a="1"/>
  <c r="B34" i="1" a="1"/>
  <c r="B46" i="1" a="1"/>
  <c r="B52" i="1" a="1"/>
  <c r="B40" i="1" a="1"/>
  <c r="B5" i="1" a="1"/>
  <c r="B11" i="1" a="1"/>
  <c r="B17" i="1" a="1"/>
  <c r="B23" i="1" a="1"/>
  <c r="B29" i="1" a="1"/>
  <c r="B35" i="1" a="1"/>
  <c r="B41" i="1" a="1"/>
  <c r="B47" i="1" a="1"/>
  <c r="B53" i="1" a="1"/>
  <c r="B26" i="1" a="1"/>
  <c r="B44" i="1" a="1"/>
  <c r="B6" i="1" a="1"/>
  <c r="B18" i="1" a="1"/>
  <c r="B30" i="1" a="1"/>
  <c r="B42" i="1" a="1"/>
  <c r="B54" i="1" a="1"/>
  <c r="B37" i="1" a="1"/>
  <c r="B49" i="1" a="1"/>
  <c r="B8" i="1" a="1"/>
  <c r="B32" i="1" a="1"/>
  <c r="B12" i="1" a="1"/>
  <c r="B24" i="1" a="1"/>
  <c r="B36" i="1" a="1"/>
  <c r="B48" i="1" a="1"/>
  <c r="B31" i="1" a="1"/>
  <c r="B55" i="1" a="1"/>
  <c r="B14" i="1" a="1"/>
  <c r="B38" i="1" a="1"/>
  <c r="B7" i="1" a="1"/>
  <c r="B13" i="1" a="1"/>
  <c r="B19" i="1" a="1"/>
  <c r="B25" i="1" a="1"/>
  <c r="B43" i="1" a="1"/>
  <c r="B20" i="1" a="1"/>
  <c r="B50" i="1" a="1"/>
  <c r="B9" i="1" a="1"/>
  <c r="B15" i="1" a="1"/>
  <c r="B21" i="1" a="1"/>
  <c r="B2" i="1" a="1"/>
  <c r="E18" i="12" l="1"/>
  <c r="D18" i="12"/>
  <c r="E13" i="12"/>
  <c r="D13" i="12"/>
  <c r="I22" i="5"/>
  <c r="I4" i="5"/>
  <c r="I51" i="5"/>
  <c r="I45" i="5"/>
  <c r="I39" i="5"/>
  <c r="I27" i="5"/>
  <c r="I21" i="5"/>
  <c r="I15" i="5"/>
  <c r="I9" i="5"/>
  <c r="I3" i="5"/>
  <c r="I52" i="5"/>
  <c r="I16" i="5"/>
  <c r="I50" i="5"/>
  <c r="I44" i="5"/>
  <c r="I38" i="5"/>
  <c r="I32" i="5"/>
  <c r="I26" i="5"/>
  <c r="I20" i="5"/>
  <c r="I14" i="5"/>
  <c r="I8" i="5"/>
  <c r="I28" i="5"/>
  <c r="I56" i="5"/>
  <c r="I55" i="5"/>
  <c r="I49" i="5"/>
  <c r="I43" i="5"/>
  <c r="I37" i="5"/>
  <c r="I31" i="5"/>
  <c r="I25" i="5"/>
  <c r="I19" i="5"/>
  <c r="I13" i="5"/>
  <c r="I7" i="5"/>
  <c r="I36" i="5"/>
  <c r="I46" i="5"/>
  <c r="I54" i="5"/>
  <c r="I48" i="5"/>
  <c r="I42" i="5"/>
  <c r="I30" i="5"/>
  <c r="I24" i="5"/>
  <c r="I18" i="5"/>
  <c r="I12" i="5"/>
  <c r="I6" i="5"/>
  <c r="I34" i="5"/>
  <c r="I53" i="5"/>
  <c r="I47" i="5"/>
  <c r="I41" i="5"/>
  <c r="I35" i="5"/>
  <c r="I29" i="5"/>
  <c r="I23" i="5"/>
  <c r="I17" i="5"/>
  <c r="I11" i="5"/>
  <c r="I5" i="5"/>
  <c r="I40" i="5"/>
  <c r="I10" i="5"/>
  <c r="I33" i="5"/>
  <c r="I2" i="5"/>
  <c r="I26" i="1"/>
  <c r="I40" i="1"/>
  <c r="I28" i="1"/>
  <c r="I16" i="1"/>
  <c r="I4" i="1"/>
  <c r="I45" i="1"/>
  <c r="I39" i="1"/>
  <c r="I27" i="1"/>
  <c r="I21" i="1"/>
  <c r="I15" i="1"/>
  <c r="I9" i="1"/>
  <c r="I31" i="1"/>
  <c r="I38" i="1"/>
  <c r="I14" i="1"/>
  <c r="I55" i="1"/>
  <c r="I43" i="1"/>
  <c r="I25" i="1"/>
  <c r="I13" i="1"/>
  <c r="I54" i="1"/>
  <c r="I42" i="1"/>
  <c r="I30" i="1"/>
  <c r="I18" i="1"/>
  <c r="I6" i="1"/>
  <c r="I56" i="1"/>
  <c r="I20" i="1"/>
  <c r="I49" i="1"/>
  <c r="I37" i="1"/>
  <c r="I19" i="1"/>
  <c r="I7" i="1"/>
  <c r="I48" i="1"/>
  <c r="I36" i="1"/>
  <c r="I24" i="1"/>
  <c r="I12" i="1"/>
  <c r="I32" i="1"/>
  <c r="I53" i="1"/>
  <c r="I47" i="1"/>
  <c r="I41" i="1"/>
  <c r="I35" i="1"/>
  <c r="I29" i="1"/>
  <c r="I23" i="1"/>
  <c r="I17" i="1"/>
  <c r="I11" i="1"/>
  <c r="I5" i="1"/>
  <c r="I50" i="1"/>
  <c r="I46" i="1"/>
  <c r="I44" i="1"/>
  <c r="I8" i="1"/>
  <c r="I52" i="1"/>
  <c r="I34" i="1"/>
  <c r="I22" i="1"/>
  <c r="I10" i="1"/>
  <c r="I51" i="1"/>
  <c r="I33" i="1"/>
  <c r="I3" i="1"/>
  <c r="I2" i="1"/>
  <c r="E21" i="12"/>
  <c r="D21" i="12"/>
  <c r="E22" i="12"/>
  <c r="D22" i="12"/>
  <c r="E17" i="12"/>
  <c r="D17" i="12"/>
  <c r="E16" i="12"/>
  <c r="D16" i="12"/>
  <c r="D11" i="12"/>
  <c r="E12" i="12"/>
  <c r="E11" i="12"/>
  <c r="E8" i="12"/>
  <c r="D8" i="12"/>
  <c r="E7" i="12"/>
  <c r="D7" i="12"/>
  <c r="B55" i="5"/>
  <c r="B45" i="5"/>
  <c r="B39" i="5"/>
  <c r="B33" i="5"/>
  <c r="B27" i="5"/>
  <c r="B21" i="5"/>
  <c r="B15" i="5"/>
  <c r="B9" i="5"/>
  <c r="B51" i="5"/>
  <c r="B56" i="5"/>
  <c r="B50" i="5"/>
  <c r="B44" i="5"/>
  <c r="B38" i="5"/>
  <c r="B32" i="5"/>
  <c r="B26" i="5"/>
  <c r="B20" i="5"/>
  <c r="B14" i="5"/>
  <c r="B8" i="5"/>
  <c r="B43" i="5"/>
  <c r="B7" i="5"/>
  <c r="B6" i="5"/>
  <c r="B24" i="5"/>
  <c r="B18" i="5"/>
  <c r="B12" i="5"/>
  <c r="B31" i="5"/>
  <c r="B13" i="5"/>
  <c r="B42" i="5"/>
  <c r="B53" i="5"/>
  <c r="B29" i="5"/>
  <c r="B23" i="5"/>
  <c r="B17" i="5"/>
  <c r="B5" i="5"/>
  <c r="B41" i="5"/>
  <c r="B11" i="5"/>
  <c r="B49" i="5"/>
  <c r="B25" i="5"/>
  <c r="B54" i="5"/>
  <c r="B36" i="5"/>
  <c r="B47" i="5"/>
  <c r="B52" i="5"/>
  <c r="B46" i="5"/>
  <c r="B40" i="5"/>
  <c r="B34" i="5"/>
  <c r="B28" i="5"/>
  <c r="B22" i="5"/>
  <c r="B10" i="5"/>
  <c r="B4" i="5"/>
  <c r="B37" i="5"/>
  <c r="B19" i="5"/>
  <c r="B48" i="5"/>
  <c r="B30" i="5"/>
  <c r="B35" i="5"/>
  <c r="B16" i="5"/>
  <c r="B3" i="5"/>
  <c r="B2" i="5"/>
  <c r="B21" i="1"/>
  <c r="B15" i="1"/>
  <c r="B9" i="1"/>
  <c r="B50" i="1"/>
  <c r="B20" i="1"/>
  <c r="B43" i="1"/>
  <c r="B25" i="1"/>
  <c r="B19" i="1"/>
  <c r="B13" i="1"/>
  <c r="B7" i="1"/>
  <c r="B38" i="1"/>
  <c r="B14" i="1"/>
  <c r="B55" i="1"/>
  <c r="B31" i="1"/>
  <c r="B48" i="1"/>
  <c r="B36" i="1"/>
  <c r="B24" i="1"/>
  <c r="B12" i="1"/>
  <c r="B32" i="1"/>
  <c r="B8" i="1"/>
  <c r="B49" i="1"/>
  <c r="B37" i="1"/>
  <c r="B54" i="1"/>
  <c r="B42" i="1"/>
  <c r="B30" i="1"/>
  <c r="B18" i="1"/>
  <c r="B6" i="1"/>
  <c r="B44" i="1"/>
  <c r="B26" i="1"/>
  <c r="B53" i="1"/>
  <c r="B47" i="1"/>
  <c r="B41" i="1"/>
  <c r="B35" i="1"/>
  <c r="B29" i="1"/>
  <c r="B23" i="1"/>
  <c r="B17" i="1"/>
  <c r="B11" i="1"/>
  <c r="B5" i="1"/>
  <c r="B40" i="1"/>
  <c r="B52" i="1"/>
  <c r="B46" i="1"/>
  <c r="B34" i="1"/>
  <c r="B28" i="1"/>
  <c r="B22" i="1"/>
  <c r="B16" i="1"/>
  <c r="B10" i="1"/>
  <c r="B4" i="1"/>
  <c r="B56" i="1"/>
  <c r="B51" i="1"/>
  <c r="B45" i="1"/>
  <c r="B39" i="1"/>
  <c r="B33" i="1"/>
  <c r="B27" i="1"/>
  <c r="B3" i="1"/>
  <c r="B2" i="1"/>
  <c r="C19" i="1"/>
  <c r="C26" i="1"/>
  <c r="C25" i="1"/>
  <c r="C36" i="1"/>
  <c r="C11" i="1"/>
  <c r="D12" i="12" a="1"/>
  <c r="D36" i="1" a="1"/>
  <c r="D11" i="1" a="1"/>
  <c r="D19" i="1" a="1"/>
  <c r="D25" i="1" a="1"/>
  <c r="D26" i="1" a="1"/>
  <c r="D12" i="12" l="1"/>
  <c r="H21" i="1"/>
  <c r="H5" i="5"/>
  <c r="C38" i="1"/>
  <c r="H38" i="1"/>
  <c r="H54" i="1"/>
  <c r="H10" i="1"/>
  <c r="C29" i="1"/>
  <c r="H29" i="1" s="1"/>
  <c r="C37" i="1"/>
  <c r="H37" i="1"/>
  <c r="H7" i="1"/>
  <c r="H16" i="5"/>
  <c r="H29" i="5"/>
  <c r="H27" i="5"/>
  <c r="C13" i="1"/>
  <c r="H13" i="1" s="1"/>
  <c r="H11" i="1"/>
  <c r="H17" i="1"/>
  <c r="C49" i="1"/>
  <c r="E49" i="1" s="1"/>
  <c r="H49" i="1"/>
  <c r="H19" i="1"/>
  <c r="H47" i="5"/>
  <c r="H39" i="5"/>
  <c r="H35" i="1"/>
  <c r="C2" i="1"/>
  <c r="H2" i="1" s="1"/>
  <c r="C28" i="1"/>
  <c r="H28" i="1"/>
  <c r="C47" i="1"/>
  <c r="H47" i="1"/>
  <c r="H25" i="1"/>
  <c r="H48" i="5"/>
  <c r="C43" i="1"/>
  <c r="H43" i="1"/>
  <c r="H54" i="5"/>
  <c r="H27" i="1"/>
  <c r="C46" i="1"/>
  <c r="H46" i="1" s="1"/>
  <c r="H26" i="1"/>
  <c r="H24" i="1"/>
  <c r="H20" i="1"/>
  <c r="H8" i="5"/>
  <c r="C12" i="1"/>
  <c r="H12" i="1" s="1"/>
  <c r="H36" i="1"/>
  <c r="C50" i="1"/>
  <c r="H50" i="1"/>
  <c r="H50" i="5"/>
  <c r="H9" i="1"/>
  <c r="C55" i="1"/>
  <c r="H55" i="1" s="1"/>
  <c r="H23" i="5"/>
  <c r="C35" i="1"/>
  <c r="H53" i="1"/>
  <c r="H39" i="1"/>
  <c r="H40" i="1"/>
  <c r="C48" i="1"/>
  <c r="H48" i="1" s="1"/>
  <c r="C16" i="1"/>
  <c r="H45" i="1"/>
  <c r="C5" i="1"/>
  <c r="H5" i="1" s="1"/>
  <c r="C31" i="1"/>
  <c r="D26" i="1"/>
  <c r="F26" i="1" s="1"/>
  <c r="D25" i="1"/>
  <c r="F25" i="1" s="1"/>
  <c r="D19" i="1"/>
  <c r="F19" i="1" s="1"/>
  <c r="D11" i="1"/>
  <c r="F11" i="1" s="1"/>
  <c r="D36" i="1"/>
  <c r="F36" i="1" s="1"/>
  <c r="E37" i="1"/>
  <c r="C49" i="5"/>
  <c r="E49" i="5" s="1"/>
  <c r="C14" i="5"/>
  <c r="C3" i="1"/>
  <c r="H3" i="1" s="1"/>
  <c r="C41" i="1"/>
  <c r="H41" i="1" s="1"/>
  <c r="C44" i="1"/>
  <c r="H44" i="1" s="1"/>
  <c r="C18" i="1"/>
  <c r="H18" i="1" s="1"/>
  <c r="C9" i="1"/>
  <c r="E50" i="1"/>
  <c r="C17" i="1"/>
  <c r="C24" i="1"/>
  <c r="E24" i="1"/>
  <c r="C32" i="1"/>
  <c r="H32" i="1" s="1"/>
  <c r="C47" i="5"/>
  <c r="E47" i="5"/>
  <c r="C25" i="5"/>
  <c r="C51" i="5"/>
  <c r="H51" i="5" s="1"/>
  <c r="C36" i="5"/>
  <c r="C24" i="5"/>
  <c r="H24" i="5" s="1"/>
  <c r="C21" i="1"/>
  <c r="E16" i="1"/>
  <c r="E36" i="1"/>
  <c r="C5" i="5"/>
  <c r="E11" i="1"/>
  <c r="E26" i="1"/>
  <c r="C11" i="5"/>
  <c r="E11" i="5" s="1"/>
  <c r="C12" i="5"/>
  <c r="C15" i="5"/>
  <c r="H15" i="5" s="1"/>
  <c r="C43" i="5"/>
  <c r="H43" i="5" s="1"/>
  <c r="C7" i="1"/>
  <c r="C35" i="5"/>
  <c r="C13" i="5"/>
  <c r="C27" i="5"/>
  <c r="C33" i="1"/>
  <c r="H33" i="1" s="1"/>
  <c r="E12" i="1"/>
  <c r="E25" i="1"/>
  <c r="C8" i="1"/>
  <c r="H8" i="1" s="1"/>
  <c r="C29" i="5"/>
  <c r="C45" i="5"/>
  <c r="C3" i="5"/>
  <c r="H3" i="5" s="1"/>
  <c r="C31" i="5"/>
  <c r="H31" i="5" s="1"/>
  <c r="C6" i="1"/>
  <c r="E6" i="1" s="1"/>
  <c r="C53" i="5"/>
  <c r="C23" i="5"/>
  <c r="C52" i="5"/>
  <c r="H52" i="5" s="1"/>
  <c r="C54" i="5"/>
  <c r="C56" i="5"/>
  <c r="C19" i="5"/>
  <c r="E2" i="1"/>
  <c r="C23" i="1"/>
  <c r="H23" i="1" s="1"/>
  <c r="C30" i="1"/>
  <c r="H30" i="1" s="1"/>
  <c r="C39" i="5"/>
  <c r="E5" i="1"/>
  <c r="E38" i="1"/>
  <c r="C55" i="5"/>
  <c r="C27" i="1"/>
  <c r="E27" i="1"/>
  <c r="C34" i="1"/>
  <c r="H34" i="1" s="1"/>
  <c r="E46" i="1"/>
  <c r="C39" i="1"/>
  <c r="E29" i="1"/>
  <c r="C42" i="1"/>
  <c r="H42" i="1" s="1"/>
  <c r="C41" i="5"/>
  <c r="C45" i="1"/>
  <c r="E47" i="1"/>
  <c r="C54" i="1"/>
  <c r="C20" i="1"/>
  <c r="C40" i="5"/>
  <c r="C42" i="5"/>
  <c r="E42" i="5" s="1"/>
  <c r="C44" i="5"/>
  <c r="C33" i="5"/>
  <c r="C7" i="5"/>
  <c r="C21" i="5"/>
  <c r="C22" i="1"/>
  <c r="H22" i="1" s="1"/>
  <c r="C10" i="5"/>
  <c r="H10" i="5" s="1"/>
  <c r="C15" i="1"/>
  <c r="H15" i="1" s="1"/>
  <c r="C10" i="1"/>
  <c r="C53" i="1"/>
  <c r="C51" i="1"/>
  <c r="H51" i="1" s="1"/>
  <c r="C4" i="1"/>
  <c r="H4" i="1" s="1"/>
  <c r="C56" i="1"/>
  <c r="H56" i="1" s="1"/>
  <c r="C28" i="5"/>
  <c r="C30" i="5"/>
  <c r="H30" i="5" s="1"/>
  <c r="C32" i="5"/>
  <c r="C50" i="5"/>
  <c r="E28" i="1"/>
  <c r="E13" i="1"/>
  <c r="C16" i="5"/>
  <c r="C18" i="5"/>
  <c r="C20" i="5"/>
  <c r="C46" i="5"/>
  <c r="H46" i="5" s="1"/>
  <c r="C38" i="5"/>
  <c r="C40" i="1"/>
  <c r="E40" i="1" s="1"/>
  <c r="C52" i="1"/>
  <c r="H52" i="1" s="1"/>
  <c r="E52" i="1"/>
  <c r="C14" i="1"/>
  <c r="H14" i="1" s="1"/>
  <c r="E19" i="1"/>
  <c r="C4" i="5"/>
  <c r="H4" i="5" s="1"/>
  <c r="C6" i="5"/>
  <c r="H6" i="5" s="1"/>
  <c r="C8" i="5"/>
  <c r="C34" i="5"/>
  <c r="H34" i="5" s="1"/>
  <c r="C26" i="5"/>
  <c r="E35" i="1"/>
  <c r="C22" i="5"/>
  <c r="E55" i="1"/>
  <c r="C9" i="5"/>
  <c r="C37" i="5"/>
  <c r="H37" i="5" s="1"/>
  <c r="C17" i="5"/>
  <c r="H17" i="5" s="1"/>
  <c r="C48" i="5"/>
  <c r="C2" i="5"/>
  <c r="H2" i="5" s="1"/>
  <c r="D49" i="1" a="1"/>
  <c r="D51" i="5" a="1"/>
  <c r="D3" i="5" a="1"/>
  <c r="D17" i="5" a="1"/>
  <c r="D24" i="5" a="1"/>
  <c r="D39" i="5" a="1"/>
  <c r="D50" i="5" a="1"/>
  <c r="D48" i="5" a="1"/>
  <c r="D2" i="5" a="1"/>
  <c r="D30" i="5" a="1"/>
  <c r="D43" i="5" a="1"/>
  <c r="D48" i="1" a="1"/>
  <c r="D35" i="5" a="1"/>
  <c r="D10" i="5" a="1"/>
  <c r="D4" i="5" a="1"/>
  <c r="D36" i="5" a="1"/>
  <c r="D37" i="5" a="1"/>
  <c r="D31" i="5" a="1"/>
  <c r="D29" i="1" a="1"/>
  <c r="D13" i="1" a="1"/>
  <c r="D2" i="1" a="1"/>
  <c r="D46" i="1" a="1"/>
  <c r="D12" i="1" a="1"/>
  <c r="D13" i="5" a="1"/>
  <c r="D53" i="5" a="1"/>
  <c r="D6" i="5" a="1"/>
  <c r="D18" i="5" a="1"/>
  <c r="D34" i="5" a="1"/>
  <c r="D52" i="5" a="1"/>
  <c r="D26" i="5" a="1"/>
  <c r="D5" i="1" a="1"/>
  <c r="D45" i="5" a="1"/>
  <c r="D31" i="1" a="1"/>
  <c r="D15" i="5" a="1"/>
  <c r="D41" i="5" a="1"/>
  <c r="D32" i="5" a="1"/>
  <c r="D5" i="5" a="1"/>
  <c r="D27" i="5" a="1"/>
  <c r="D23" i="5" a="1"/>
  <c r="D55" i="5" a="1"/>
  <c r="D16" i="5" a="1"/>
  <c r="D8" i="5" a="1"/>
  <c r="D37" i="1" a="1"/>
  <c r="D28" i="1" a="1"/>
  <c r="D40" i="5" a="1"/>
  <c r="D55" i="1" a="1"/>
  <c r="D49" i="5" a="1"/>
  <c r="D21" i="5" a="1"/>
  <c r="D16" i="1" a="1"/>
  <c r="D20" i="5" a="1"/>
  <c r="D38" i="5" a="1"/>
  <c r="D22" i="5" a="1"/>
  <c r="D7" i="5" a="1"/>
  <c r="D9" i="5" a="1"/>
  <c r="D42" i="5" a="1"/>
  <c r="D47" i="1" a="1"/>
  <c r="D43" i="1" a="1"/>
  <c r="D47" i="5" a="1"/>
  <c r="D54" i="5" a="1"/>
  <c r="D46" i="5" a="1"/>
  <c r="D14" i="5" a="1"/>
  <c r="D11" i="5" a="1"/>
  <c r="D44" i="5" a="1"/>
  <c r="D56" i="5" a="1"/>
  <c r="D12" i="5" a="1"/>
  <c r="D28" i="5" a="1"/>
  <c r="D38" i="1" a="1"/>
  <c r="D50" i="1" a="1"/>
  <c r="D35" i="1" a="1"/>
  <c r="D25" i="5" a="1"/>
  <c r="D29" i="5" a="1"/>
  <c r="D19" i="5" a="1"/>
  <c r="D33" i="5" a="1"/>
  <c r="D32" i="1" a="1"/>
  <c r="D27" i="1" a="1"/>
  <c r="D53" i="1" a="1"/>
  <c r="D34" i="1" a="1"/>
  <c r="D4" i="1" a="1"/>
  <c r="D44" i="1" a="1"/>
  <c r="D56" i="1" a="1"/>
  <c r="D40" i="1" a="1"/>
  <c r="D9" i="1" a="1"/>
  <c r="D21" i="1" a="1"/>
  <c r="D7" i="1" a="1"/>
  <c r="D30" i="1" a="1"/>
  <c r="D42" i="1" a="1"/>
  <c r="D52" i="1" a="1"/>
  <c r="D41" i="1" a="1"/>
  <c r="D18" i="1" a="1"/>
  <c r="D23" i="1" a="1"/>
  <c r="D6" i="1" a="1"/>
  <c r="D22" i="1" a="1"/>
  <c r="D17" i="1" a="1"/>
  <c r="D45" i="1" a="1"/>
  <c r="D14" i="1" a="1"/>
  <c r="D24" i="1" a="1"/>
  <c r="D15" i="1" a="1"/>
  <c r="D20" i="1" a="1"/>
  <c r="D51" i="1" a="1"/>
  <c r="D33" i="1" a="1"/>
  <c r="D54" i="1" a="1"/>
  <c r="D10" i="1" a="1"/>
  <c r="D8" i="1" a="1"/>
  <c r="D3" i="1" a="1"/>
  <c r="D39" i="1" a="1"/>
  <c r="D33" i="5" l="1"/>
  <c r="D19" i="5"/>
  <c r="D29" i="5"/>
  <c r="D25" i="5"/>
  <c r="D35" i="1"/>
  <c r="F35" i="1" s="1"/>
  <c r="D50" i="1"/>
  <c r="F50" i="1" s="1"/>
  <c r="D38" i="1"/>
  <c r="F38" i="1" s="1"/>
  <c r="D28" i="5"/>
  <c r="D12" i="5"/>
  <c r="D56" i="5"/>
  <c r="D44" i="5"/>
  <c r="D11" i="5"/>
  <c r="D14" i="5"/>
  <c r="D46" i="5"/>
  <c r="D54" i="5"/>
  <c r="D47" i="5"/>
  <c r="D43" i="1"/>
  <c r="F43" i="1" s="1"/>
  <c r="D47" i="1"/>
  <c r="F47" i="1" s="1"/>
  <c r="D42" i="5"/>
  <c r="D9" i="5"/>
  <c r="D7" i="5"/>
  <c r="D22" i="5"/>
  <c r="D38" i="5"/>
  <c r="D20" i="5"/>
  <c r="D16" i="1"/>
  <c r="F16" i="1" s="1"/>
  <c r="D21" i="5"/>
  <c r="D49" i="5"/>
  <c r="D55" i="1"/>
  <c r="F55" i="1" s="1"/>
  <c r="D40" i="5"/>
  <c r="D28" i="1"/>
  <c r="F28" i="1" s="1"/>
  <c r="D37" i="1"/>
  <c r="F37" i="1" s="1"/>
  <c r="D8" i="5"/>
  <c r="D16" i="5"/>
  <c r="D55" i="5"/>
  <c r="D23" i="5"/>
  <c r="D27" i="5"/>
  <c r="D5" i="5"/>
  <c r="D32" i="5"/>
  <c r="D41" i="5"/>
  <c r="D15" i="5"/>
  <c r="D31" i="1"/>
  <c r="F31" i="1" s="1"/>
  <c r="D45" i="5"/>
  <c r="D5" i="1"/>
  <c r="F5" i="1" s="1"/>
  <c r="D26" i="5"/>
  <c r="D52" i="5"/>
  <c r="D34" i="5"/>
  <c r="D18" i="5"/>
  <c r="D6" i="5"/>
  <c r="D53" i="5"/>
  <c r="D13" i="5"/>
  <c r="D12" i="1"/>
  <c r="F12" i="1" s="1"/>
  <c r="D46" i="1"/>
  <c r="F46" i="1" s="1"/>
  <c r="D2" i="1"/>
  <c r="F2" i="1" s="1"/>
  <c r="D13" i="1"/>
  <c r="F13" i="1" s="1"/>
  <c r="D29" i="1"/>
  <c r="F29" i="1" s="1"/>
  <c r="D31" i="5"/>
  <c r="D37" i="5"/>
  <c r="D36" i="5"/>
  <c r="D4" i="5"/>
  <c r="D10" i="5"/>
  <c r="D35" i="5"/>
  <c r="D48" i="1"/>
  <c r="F48" i="1" s="1"/>
  <c r="D43" i="5"/>
  <c r="D30" i="5"/>
  <c r="D2" i="5"/>
  <c r="D48" i="5"/>
  <c r="D50" i="5"/>
  <c r="D39" i="5"/>
  <c r="D24" i="5"/>
  <c r="D17" i="5"/>
  <c r="D3" i="5"/>
  <c r="D51" i="5"/>
  <c r="D49" i="1"/>
  <c r="F49" i="1" s="1"/>
  <c r="H25" i="5"/>
  <c r="H19" i="5"/>
  <c r="H42" i="5"/>
  <c r="H44" i="5"/>
  <c r="E48" i="1"/>
  <c r="E43" i="1"/>
  <c r="H56" i="5"/>
  <c r="H11" i="5"/>
  <c r="E31" i="1"/>
  <c r="H33" i="5"/>
  <c r="H41" i="5"/>
  <c r="H45" i="5"/>
  <c r="H22" i="5"/>
  <c r="H32" i="5"/>
  <c r="H20" i="5"/>
  <c r="H16" i="1"/>
  <c r="H9" i="5"/>
  <c r="E31" i="5"/>
  <c r="H6" i="1"/>
  <c r="H18" i="5"/>
  <c r="H55" i="5"/>
  <c r="H13" i="5"/>
  <c r="H53" i="5"/>
  <c r="H40" i="5"/>
  <c r="H7" i="5"/>
  <c r="H31" i="1"/>
  <c r="H49" i="5"/>
  <c r="H38" i="5"/>
  <c r="H36" i="5"/>
  <c r="H35" i="5"/>
  <c r="H14" i="5"/>
  <c r="H21" i="5"/>
  <c r="H28" i="5"/>
  <c r="H12" i="5"/>
  <c r="H26" i="5"/>
  <c r="D39" i="1"/>
  <c r="F39" i="1" s="1"/>
  <c r="D3" i="1"/>
  <c r="F3" i="1" s="1"/>
  <c r="D8" i="1"/>
  <c r="F8" i="1" s="1"/>
  <c r="D10" i="1"/>
  <c r="F10" i="1" s="1"/>
  <c r="D54" i="1"/>
  <c r="F54" i="1" s="1"/>
  <c r="D33" i="1"/>
  <c r="F33" i="1" s="1"/>
  <c r="D51" i="1"/>
  <c r="F51" i="1" s="1"/>
  <c r="D20" i="1"/>
  <c r="F20" i="1" s="1"/>
  <c r="D15" i="1"/>
  <c r="F15" i="1" s="1"/>
  <c r="D24" i="1"/>
  <c r="F24" i="1" s="1"/>
  <c r="D14" i="1"/>
  <c r="F14" i="1" s="1"/>
  <c r="D45" i="1"/>
  <c r="F45" i="1" s="1"/>
  <c r="D17" i="1"/>
  <c r="F17" i="1" s="1"/>
  <c r="D22" i="1"/>
  <c r="F22" i="1" s="1"/>
  <c r="D6" i="1"/>
  <c r="F6" i="1" s="1"/>
  <c r="D23" i="1"/>
  <c r="F23" i="1" s="1"/>
  <c r="D18" i="1"/>
  <c r="F18" i="1" s="1"/>
  <c r="D41" i="1"/>
  <c r="F41" i="1" s="1"/>
  <c r="D52" i="1"/>
  <c r="F52" i="1" s="1"/>
  <c r="D42" i="1"/>
  <c r="F42" i="1" s="1"/>
  <c r="D30" i="1"/>
  <c r="F30" i="1" s="1"/>
  <c r="D7" i="1"/>
  <c r="F7" i="1" s="1"/>
  <c r="D21" i="1"/>
  <c r="F21" i="1" s="1"/>
  <c r="D9" i="1"/>
  <c r="F9" i="1" s="1"/>
  <c r="D40" i="1"/>
  <c r="F40" i="1" s="1"/>
  <c r="D56" i="1"/>
  <c r="F56" i="1" s="1"/>
  <c r="D44" i="1"/>
  <c r="F44" i="1" s="1"/>
  <c r="D4" i="1"/>
  <c r="F4" i="1" s="1"/>
  <c r="D34" i="1"/>
  <c r="F34" i="1" s="1"/>
  <c r="D53" i="1"/>
  <c r="F53" i="1" s="1"/>
  <c r="D27" i="1"/>
  <c r="F27" i="1" s="1"/>
  <c r="D32" i="1"/>
  <c r="F32" i="1" s="1"/>
  <c r="E39" i="1"/>
  <c r="E37" i="5"/>
  <c r="E26" i="5"/>
  <c r="E4" i="1"/>
  <c r="E45" i="1"/>
  <c r="E23" i="1"/>
  <c r="E33" i="1"/>
  <c r="E30" i="1"/>
  <c r="E53" i="1"/>
  <c r="E10" i="1"/>
  <c r="E21" i="1"/>
  <c r="E22" i="1"/>
  <c r="E8" i="1"/>
  <c r="E44" i="1"/>
  <c r="E20" i="1"/>
  <c r="E5" i="5"/>
  <c r="E54" i="5"/>
  <c r="E44" i="5"/>
  <c r="E52" i="5"/>
  <c r="E3" i="5"/>
  <c r="E17" i="5"/>
  <c r="E21" i="5"/>
  <c r="E23" i="5"/>
  <c r="E43" i="5"/>
  <c r="E51" i="5"/>
  <c r="E10" i="5"/>
  <c r="E7" i="5"/>
  <c r="E55" i="5"/>
  <c r="E53" i="5"/>
  <c r="E15" i="5"/>
  <c r="E18" i="5"/>
  <c r="E30" i="5"/>
  <c r="E19" i="5"/>
  <c r="E35" i="5"/>
  <c r="E32" i="1"/>
  <c r="E48" i="5"/>
  <c r="E20" i="5"/>
  <c r="E32" i="5"/>
  <c r="E14" i="1"/>
  <c r="E34" i="5"/>
  <c r="E16" i="5"/>
  <c r="E28" i="5"/>
  <c r="E54" i="1"/>
  <c r="E56" i="5"/>
  <c r="E7" i="1"/>
  <c r="E24" i="5"/>
  <c r="E41" i="1"/>
  <c r="E42" i="1"/>
  <c r="E9" i="5"/>
  <c r="E8" i="5"/>
  <c r="E56" i="1"/>
  <c r="E15" i="1"/>
  <c r="E33" i="5"/>
  <c r="E39" i="5"/>
  <c r="E36" i="5"/>
  <c r="E17" i="1"/>
  <c r="E3" i="1"/>
  <c r="E6" i="5"/>
  <c r="E38" i="5"/>
  <c r="E34" i="1"/>
  <c r="E14" i="5"/>
  <c r="E2" i="5"/>
  <c r="E22" i="5"/>
  <c r="E4" i="5"/>
  <c r="E46" i="5"/>
  <c r="E50" i="5"/>
  <c r="E41" i="5"/>
  <c r="E45" i="5"/>
  <c r="E27" i="5"/>
  <c r="E12" i="5"/>
  <c r="E25" i="5"/>
  <c r="E9" i="1"/>
  <c r="E51" i="1"/>
  <c r="E40" i="5"/>
  <c r="E29" i="5"/>
  <c r="E13" i="5"/>
  <c r="E18" i="1"/>
  <c r="F33" i="5" a="1"/>
  <c r="F14" i="5" a="1"/>
  <c r="F20" i="5" a="1"/>
  <c r="F23" i="5" a="1"/>
  <c r="F34" i="5" a="1"/>
  <c r="F37" i="5" a="1"/>
  <c r="F39" i="5" a="1"/>
  <c r="F53" i="5" a="1"/>
  <c r="F10" i="5" a="1"/>
  <c r="F3" i="5" a="1"/>
  <c r="F19" i="5" a="1"/>
  <c r="F46" i="5" a="1"/>
  <c r="F27" i="5" a="1"/>
  <c r="F18" i="5" a="1"/>
  <c r="F36" i="5" a="1"/>
  <c r="F24" i="5" a="1"/>
  <c r="F49" i="5" a="1"/>
  <c r="F29" i="5" a="1"/>
  <c r="F54" i="5" a="1"/>
  <c r="F21" i="5" a="1"/>
  <c r="F5" i="5" a="1"/>
  <c r="F6" i="5" a="1"/>
  <c r="F4" i="5" a="1"/>
  <c r="F17" i="5" a="1"/>
  <c r="F47" i="5" a="1"/>
  <c r="F25" i="5" a="1"/>
  <c r="F32" i="5" a="1"/>
  <c r="F13" i="5" a="1"/>
  <c r="F35" i="5" a="1"/>
  <c r="F51" i="5" a="1"/>
  <c r="F40" i="5" a="1"/>
  <c r="F41" i="5" a="1"/>
  <c r="F15" i="5" a="1"/>
  <c r="F28" i="5" a="1"/>
  <c r="F42" i="5" a="1"/>
  <c r="F43" i="5" a="1"/>
  <c r="F12" i="5" a="1"/>
  <c r="F9" i="5" a="1"/>
  <c r="F45" i="5" a="1"/>
  <c r="F30" i="5" a="1"/>
  <c r="F56" i="5" a="1"/>
  <c r="F7" i="5" a="1"/>
  <c r="F8" i="5" a="1"/>
  <c r="F2" i="5" a="1"/>
  <c r="F44" i="5" a="1"/>
  <c r="F22" i="5" a="1"/>
  <c r="F16" i="5" a="1"/>
  <c r="F26" i="5" a="1"/>
  <c r="F48" i="5" a="1"/>
  <c r="F11" i="5" a="1"/>
  <c r="F38" i="5" a="1"/>
  <c r="F55" i="5" a="1"/>
  <c r="F52" i="5" a="1"/>
  <c r="F31" i="5" a="1"/>
  <c r="F50" i="5" a="1"/>
  <c r="F50" i="5" l="1"/>
  <c r="F31" i="5"/>
  <c r="F52" i="5"/>
  <c r="F55" i="5"/>
  <c r="F38" i="5"/>
  <c r="F11" i="5"/>
  <c r="F48" i="5"/>
  <c r="F26" i="5"/>
  <c r="F16" i="5"/>
  <c r="F22" i="5"/>
  <c r="F44" i="5"/>
  <c r="F2" i="5"/>
  <c r="F8" i="5"/>
  <c r="F7" i="5"/>
  <c r="F56" i="5"/>
  <c r="F30" i="5"/>
  <c r="F45" i="5"/>
  <c r="F9" i="5"/>
  <c r="F12" i="5"/>
  <c r="F43" i="5"/>
  <c r="F42" i="5"/>
  <c r="F28" i="5"/>
  <c r="F15" i="5"/>
  <c r="F41" i="5"/>
  <c r="F40" i="5"/>
  <c r="F51" i="5"/>
  <c r="F35" i="5"/>
  <c r="F13" i="5"/>
  <c r="F32" i="5"/>
  <c r="F25" i="5"/>
  <c r="F47" i="5"/>
  <c r="F17" i="5"/>
  <c r="F4" i="5"/>
  <c r="F6" i="5"/>
  <c r="F5" i="5"/>
  <c r="F21" i="5"/>
  <c r="F54" i="5"/>
  <c r="F29" i="5"/>
  <c r="F49" i="5"/>
  <c r="F24" i="5"/>
  <c r="F36" i="5"/>
  <c r="F18" i="5"/>
  <c r="F27" i="5"/>
  <c r="F46" i="5"/>
  <c r="F19" i="5"/>
  <c r="F3" i="5"/>
  <c r="F10" i="5"/>
  <c r="F53" i="5"/>
  <c r="F39" i="5"/>
  <c r="F37" i="5"/>
  <c r="F34" i="5"/>
  <c r="F23" i="5"/>
  <c r="F20" i="5"/>
  <c r="F14" i="5"/>
  <c r="F3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<sst xmlns="http://schemas.openxmlformats.org/spreadsheetml/2006/main" count="109" uniqueCount="71">
  <si>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</si>
  <si>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</si>
  <si>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</si>
  <si>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</si>
  <si>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</si>
  <si>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</si>
  <si>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</si>
  <si>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</si>
  <si>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</si>
  <si>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</si>
  <si>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</si>
  <si>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</si>
  <si>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</si>
  <si>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</si>
  <si>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</si>
  <si>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</si>
  <si>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</si>
  <si>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</si>
  <si>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</si>
  <si>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</si>
  <si>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</si>
  <si>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</si>
  <si>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</si>
  <si>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</si>
  <si>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</si>
  <si>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</si>
  <si>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</si>
  <si>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</si>
  <si>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</si>
  <si>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</si>
  <si>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</si>
  <si>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</si>
  <si>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</si>
  <si>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</si>
  <si>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</si>
  <si>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Mach</t>
  </si>
  <si>
    <t>Thrust Required</t>
  </si>
  <si>
    <t>CL</t>
  </si>
  <si>
    <t>CD</t>
  </si>
  <si>
    <t>L/D</t>
  </si>
  <si>
    <t xml:space="preserve"> </t>
  </si>
  <si>
    <t>Endurance</t>
  </si>
  <si>
    <t>FFR</t>
  </si>
  <si>
    <t>SQRT(L)/D</t>
  </si>
  <si>
    <t>Range</t>
  </si>
  <si>
    <t>X.Y</t>
  </si>
  <si>
    <t>min</t>
  </si>
  <si>
    <t>Endurance Time for 100 lb of fuel burned</t>
  </si>
  <si>
    <t>NM</t>
  </si>
  <si>
    <t>Range Distance for 100 lb of fuel burned</t>
  </si>
  <si>
    <t>10,000 ft</t>
  </si>
  <si>
    <t>Sea Level</t>
  </si>
  <si>
    <t>Format</t>
  </si>
  <si>
    <t>Units</t>
  </si>
  <si>
    <t>Part g</t>
  </si>
  <si>
    <t>Range Factor</t>
  </si>
  <si>
    <t>X.YYYY</t>
  </si>
  <si>
    <t>---</t>
  </si>
  <si>
    <t xml:space="preserve">     Mach Number</t>
  </si>
  <si>
    <t xml:space="preserve"> ft/sec</t>
  </si>
  <si>
    <t xml:space="preserve">     Velocity</t>
  </si>
  <si>
    <t>X.YY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</si>
  <si>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</si>
  <si>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hr</t>
  </si>
  <si>
    <t>Endurance Factor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</si>
  <si>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</si>
  <si>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 xml:space="preserve"> lb</t>
  </si>
  <si>
    <t>Minimum value of Thrust Required (Drag)</t>
  </si>
  <si>
    <t>Part f</t>
  </si>
  <si>
    <t>Thrust Required; Range &amp; Endurance</t>
  </si>
  <si>
    <t>Homework #8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</si>
</sst>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0" applyNumberFormat="1"/>
    <xf numFmtId="9" fontId="0" fillId="0" borderId="0" xfId="1" applyFont="1"/>
    <xf numFmtId="0" fontId="3" fillId="0" borderId="0" xfId="0" applyFont="1" applyAlignment="1">
      <alignment vertical="center"/>
    </xf>
    <xf numFmtId="9" fontId="3" fillId="0" borderId="0" xfId="1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3" fillId="0" borderId="1" xfId="0" quotePrefix="1" applyFont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167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Mach versus Drag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(SL)'!$A$5:$A$56</c:f>
              <c:numCache>
                <c:formatCode>General</c:formatCode>
                <c:ptCount val="52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0.08</c:v>
                </c:pt>
                <c:pt idx="5">
                  <c:v>0.09</c:v>
                </c:pt>
                <c:pt idx="6">
                  <c:v>0.1</c:v>
                </c:pt>
                <c:pt idx="7">
                  <c:v>0.11</c:v>
                </c:pt>
                <c:pt idx="8">
                  <c:v>0.12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0.16</c:v>
                </c:pt>
                <c:pt idx="13">
                  <c:v>0.17</c:v>
                </c:pt>
                <c:pt idx="14">
                  <c:v>0.18</c:v>
                </c:pt>
                <c:pt idx="15">
                  <c:v>0.19</c:v>
                </c:pt>
                <c:pt idx="16">
                  <c:v>0.2</c:v>
                </c:pt>
                <c:pt idx="17">
                  <c:v>0.21</c:v>
                </c:pt>
                <c:pt idx="18">
                  <c:v>0.22</c:v>
                </c:pt>
                <c:pt idx="19">
                  <c:v>0.23</c:v>
                </c:pt>
                <c:pt idx="20">
                  <c:v>0.24</c:v>
                </c:pt>
                <c:pt idx="21">
                  <c:v>0.25</c:v>
                </c:pt>
                <c:pt idx="22">
                  <c:v>0.26</c:v>
                </c:pt>
                <c:pt idx="23">
                  <c:v>0.27</c:v>
                </c:pt>
                <c:pt idx="24">
                  <c:v>0.28000000000000003</c:v>
                </c:pt>
                <c:pt idx="25">
                  <c:v>0.28999999999999998</c:v>
                </c:pt>
                <c:pt idx="26">
                  <c:v>0.3</c:v>
                </c:pt>
                <c:pt idx="27">
                  <c:v>0.31</c:v>
                </c:pt>
                <c:pt idx="28">
                  <c:v>0.32</c:v>
                </c:pt>
                <c:pt idx="29">
                  <c:v>0.33</c:v>
                </c:pt>
                <c:pt idx="30">
                  <c:v>0.34</c:v>
                </c:pt>
                <c:pt idx="31">
                  <c:v>0.35</c:v>
                </c:pt>
                <c:pt idx="32">
                  <c:v>0.36</c:v>
                </c:pt>
                <c:pt idx="33">
                  <c:v>0.37</c:v>
                </c:pt>
                <c:pt idx="34">
                  <c:v>0.38</c:v>
                </c:pt>
                <c:pt idx="35">
                  <c:v>0.39</c:v>
                </c:pt>
                <c:pt idx="36">
                  <c:v>0.4</c:v>
                </c:pt>
                <c:pt idx="37">
                  <c:v>0.41</c:v>
                </c:pt>
                <c:pt idx="38">
                  <c:v>0.42</c:v>
                </c:pt>
                <c:pt idx="39">
                  <c:v>0.43</c:v>
                </c:pt>
                <c:pt idx="40">
                  <c:v>0.44</c:v>
                </c:pt>
                <c:pt idx="41">
                  <c:v>0.45</c:v>
                </c:pt>
                <c:pt idx="42">
                  <c:v>0.46</c:v>
                </c:pt>
                <c:pt idx="43">
                  <c:v>0.47</c:v>
                </c:pt>
                <c:pt idx="44">
                  <c:v>0.48</c:v>
                </c:pt>
                <c:pt idx="45">
                  <c:v>0.49</c:v>
                </c:pt>
                <c:pt idx="46">
                  <c:v>0.5</c:v>
                </c:pt>
                <c:pt idx="47">
                  <c:v>0.51</c:v>
                </c:pt>
                <c:pt idx="48">
                  <c:v>0.52</c:v>
                </c:pt>
                <c:pt idx="49">
                  <c:v>0.53</c:v>
                </c:pt>
                <c:pt idx="50">
                  <c:v>0.54</c:v>
                </c:pt>
                <c:pt idx="51">
                  <c:v>0.55000000000000004</c:v>
                </c:pt>
              </c:numCache>
            </c:numRef>
          </c:xVal>
          <c:yVal>
            <c:numRef>
              <c:f>'Numbers (SL)'!$D$5:$D$56</c:f>
              <c:numCache>
                <c:formatCode>General</c:formatCode>
                <c:ptCount val="52"/>
                <c:pt idx="0">
                  <c:v>562.33445371015671</c:v>
                </c:pt>
                <c:pt idx="1">
                  <c:v>361.54701835484326</c:v>
                </c:pt>
                <c:pt idx="2">
                  <c:v>253.1616818875101</c:v>
                </c:pt>
                <c:pt idx="3">
                  <c:v>188.52181973622376</c:v>
                </c:pt>
                <c:pt idx="4">
                  <c:v>147.30299546145409</c:v>
                </c:pt>
                <c:pt idx="5">
                  <c:v>119.79563359785679</c:v>
                </c:pt>
                <c:pt idx="6">
                  <c:v>100.88578901670286</c:v>
                </c:pt>
                <c:pt idx="7">
                  <c:v>87.672091752013287</c:v>
                </c:pt>
                <c:pt idx="8">
                  <c:v>78.409030048186096</c:v>
                </c:pt>
                <c:pt idx="9">
                  <c:v>71.995383040602775</c:v>
                </c:pt>
                <c:pt idx="10">
                  <c:v>67.708562412920372</c:v>
                </c:pt>
                <c:pt idx="11">
                  <c:v>65.058491053926744</c:v>
                </c:pt>
                <c:pt idx="12">
                  <c:v>63.703277001023196</c:v>
                </c:pt>
                <c:pt idx="13">
                  <c:v>63.398524833660673</c:v>
                </c:pt>
                <c:pt idx="14">
                  <c:v>63.965779946158456</c:v>
                </c:pt>
                <c:pt idx="15">
                  <c:v>65.27227607584922</c:v>
                </c:pt>
                <c:pt idx="16">
                  <c:v>67.217584966143974</c:v>
                </c:pt>
                <c:pt idx="17">
                  <c:v>69.724605105777599</c:v>
                </c:pt>
                <c:pt idx="18">
                  <c:v>72.733349569484886</c:v>
                </c:pt>
                <c:pt idx="19">
                  <c:v>76.196581648199512</c:v>
                </c:pt>
                <c:pt idx="20">
                  <c:v>80.076695817280779</c:v>
                </c:pt>
                <c:pt idx="21">
                  <c:v>84.343453886908875</c:v>
                </c:pt>
                <c:pt idx="22">
                  <c:v>88.972318493377031</c:v>
                </c:pt>
                <c:pt idx="23">
                  <c:v>93.943210362296455</c:v>
                </c:pt>
                <c:pt idx="24">
                  <c:v>99.239570518687856</c:v>
                </c:pt>
                <c:pt idx="25">
                  <c:v>104.84764482937861</c:v>
                </c:pt>
                <c:pt idx="26">
                  <c:v>110.7559326154102</c:v>
                </c:pt>
                <c:pt idx="27">
                  <c:v>116.95475770211944</c:v>
                </c:pt>
                <c:pt idx="28">
                  <c:v>123.43593179289449</c:v>
                </c:pt>
                <c:pt idx="29">
                  <c:v>130.1924881359578</c:v>
                </c:pt>
                <c:pt idx="30">
                  <c:v>137.21846919600335</c:v>
                </c:pt>
                <c:pt idx="31">
                  <c:v>144.50875616877062</c:v>
                </c:pt>
                <c:pt idx="32">
                  <c:v>152.05893117331669</c:v>
                </c:pt>
                <c:pt idx="33">
                  <c:v>159.86516515491945</c:v>
                </c:pt>
                <c:pt idx="34">
                  <c:v>167.92412615916768</c:v>
                </c:pt>
                <c:pt idx="35">
                  <c:v>176.23290385364049</c:v>
                </c:pt>
                <c:pt idx="36">
                  <c:v>184.78894708940896</c:v>
                </c:pt>
                <c:pt idx="37">
                  <c:v>193.59001198987232</c:v>
                </c:pt>
                <c:pt idx="38">
                  <c:v>202.63411858622433</c:v>
                </c:pt>
                <c:pt idx="39">
                  <c:v>211.9195144284426</c:v>
                </c:pt>
                <c:pt idx="40">
                  <c:v>221.44464391829752</c:v>
                </c:pt>
                <c:pt idx="41">
                  <c:v>231.20812235871136</c:v>
                </c:pt>
                <c:pt idx="42">
                  <c:v>241.20871390836186</c:v>
                </c:pt>
                <c:pt idx="43">
                  <c:v>251.44531278404287</c:v>
                </c:pt>
                <c:pt idx="44">
                  <c:v>261.91692717525723</c:v>
                </c:pt>
                <c:pt idx="45">
                  <c:v>272.62266543284613</c:v>
                </c:pt>
                <c:pt idx="46">
                  <c:v>283.56172417152868</c:v>
                </c:pt>
                <c:pt idx="47">
                  <c:v>294.7333779891344</c:v>
                </c:pt>
                <c:pt idx="48">
                  <c:v>306.13697055624959</c:v>
                </c:pt>
                <c:pt idx="49">
                  <c:v>317.77190687141393</c:v>
                </c:pt>
                <c:pt idx="50">
                  <c:v>329.63764651082255</c:v>
                </c:pt>
                <c:pt idx="51">
                  <c:v>341.73369772922194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2E-489B-B5D6-0B132204C65A}"/>
            </c:ext>
          </c:extLst>
        </c:ser>
        <c:ser>
          <c:idx val="1"/>
          <c:order val="1"/>
          <c:tx>
            <c:v>10K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'Numbers (10K)'!$A$7:$A$56</c:f>
              <c:numCache>
                <c:formatCode>General</c:formatCode>
                <c:ptCount val="50"/>
                <c:pt idx="0">
                  <c:v>0.06</c:v>
                </c:pt>
                <c:pt idx="1">
                  <c:v>7.0000000000000007E-2</c:v>
                </c:pt>
                <c:pt idx="2">
                  <c:v>0.08</c:v>
                </c:pt>
                <c:pt idx="3">
                  <c:v>0.09</c:v>
                </c:pt>
                <c:pt idx="4">
                  <c:v>0.1</c:v>
                </c:pt>
                <c:pt idx="5">
                  <c:v>0.11</c:v>
                </c:pt>
                <c:pt idx="6">
                  <c:v>0.12</c:v>
                </c:pt>
                <c:pt idx="7">
                  <c:v>0.13</c:v>
                </c:pt>
                <c:pt idx="8">
                  <c:v>0.14000000000000001</c:v>
                </c:pt>
                <c:pt idx="9">
                  <c:v>0.15</c:v>
                </c:pt>
                <c:pt idx="10">
                  <c:v>0.16</c:v>
                </c:pt>
                <c:pt idx="11">
                  <c:v>0.17</c:v>
                </c:pt>
                <c:pt idx="12">
                  <c:v>0.18</c:v>
                </c:pt>
                <c:pt idx="13">
                  <c:v>0.19</c:v>
                </c:pt>
                <c:pt idx="14">
                  <c:v>0.2</c:v>
                </c:pt>
                <c:pt idx="15">
                  <c:v>0.21</c:v>
                </c:pt>
                <c:pt idx="16">
                  <c:v>0.22</c:v>
                </c:pt>
                <c:pt idx="17">
                  <c:v>0.23</c:v>
                </c:pt>
                <c:pt idx="18">
                  <c:v>0.24</c:v>
                </c:pt>
                <c:pt idx="19">
                  <c:v>0.25</c:v>
                </c:pt>
                <c:pt idx="20">
                  <c:v>0.26</c:v>
                </c:pt>
                <c:pt idx="21">
                  <c:v>0.27</c:v>
                </c:pt>
                <c:pt idx="22">
                  <c:v>0.28000000000000003</c:v>
                </c:pt>
                <c:pt idx="23">
                  <c:v>0.28999999999999998</c:v>
                </c:pt>
                <c:pt idx="24">
                  <c:v>0.3</c:v>
                </c:pt>
                <c:pt idx="25">
                  <c:v>0.31</c:v>
                </c:pt>
                <c:pt idx="26">
                  <c:v>0.32</c:v>
                </c:pt>
                <c:pt idx="27">
                  <c:v>0.33</c:v>
                </c:pt>
                <c:pt idx="28">
                  <c:v>0.34</c:v>
                </c:pt>
                <c:pt idx="29">
                  <c:v>0.35</c:v>
                </c:pt>
                <c:pt idx="30">
                  <c:v>0.36</c:v>
                </c:pt>
                <c:pt idx="31">
                  <c:v>0.37</c:v>
                </c:pt>
                <c:pt idx="32">
                  <c:v>0.38</c:v>
                </c:pt>
                <c:pt idx="33">
                  <c:v>0.39</c:v>
                </c:pt>
                <c:pt idx="34">
                  <c:v>0.4</c:v>
                </c:pt>
                <c:pt idx="35">
                  <c:v>0.41</c:v>
                </c:pt>
                <c:pt idx="36">
                  <c:v>0.42</c:v>
                </c:pt>
                <c:pt idx="37">
                  <c:v>0.43</c:v>
                </c:pt>
                <c:pt idx="38">
                  <c:v>0.44</c:v>
                </c:pt>
                <c:pt idx="39">
                  <c:v>0.45</c:v>
                </c:pt>
                <c:pt idx="40">
                  <c:v>0.46</c:v>
                </c:pt>
                <c:pt idx="41">
                  <c:v>0.47</c:v>
                </c:pt>
                <c:pt idx="42">
                  <c:v>0.48</c:v>
                </c:pt>
                <c:pt idx="43">
                  <c:v>0.49</c:v>
                </c:pt>
                <c:pt idx="44">
                  <c:v>0.5</c:v>
                </c:pt>
                <c:pt idx="45">
                  <c:v>0.51</c:v>
                </c:pt>
                <c:pt idx="46">
                  <c:v>0.52</c:v>
                </c:pt>
                <c:pt idx="47">
                  <c:v>0.53</c:v>
                </c:pt>
                <c:pt idx="48">
                  <c:v>0.54</c:v>
                </c:pt>
                <c:pt idx="49">
                  <c:v>0.55000000000000004</c:v>
                </c:pt>
              </c:numCache>
            </c:numRef>
          </c:xVal>
          <c:yVal>
            <c:numRef>
              <c:f>'Numbers (10K)'!$D$7:$D$56</c:f>
              <c:numCache>
                <c:formatCode>General</c:formatCode>
                <c:ptCount val="50"/>
                <c:pt idx="0">
                  <c:v>531.10411878352556</c:v>
                </c:pt>
                <c:pt idx="1">
                  <c:v>392.72442643533697</c:v>
                </c:pt>
                <c:pt idx="2">
                  <c:v>303.64561621546255</c:v>
                </c:pt>
                <c:pt idx="3">
                  <c:v>243.32560555164133</c:v>
                </c:pt>
                <c:pt idx="4">
                  <c:v>200.94506629926843</c:v>
                </c:pt>
                <c:pt idx="5">
                  <c:v>170.36570934091043</c:v>
                </c:pt>
                <c:pt idx="6">
                  <c:v>147.89463927218995</c:v>
                </c:pt>
                <c:pt idx="7">
                  <c:v>131.20205598886639</c:v>
                </c:pt>
                <c:pt idx="8">
                  <c:v>118.75921408769868</c:v>
                </c:pt>
                <c:pt idx="9">
                  <c:v>109.52928095728916</c:v>
                </c:pt>
                <c:pt idx="10">
                  <c:v>102.7889321895253</c:v>
                </c:pt>
                <c:pt idx="11">
                  <c:v>98.021112128665976</c:v>
                </c:pt>
                <c:pt idx="12">
                  <c:v>94.848272934604609</c:v>
                </c:pt>
                <c:pt idx="13">
                  <c:v>92.989527400659625</c:v>
                </c:pt>
                <c:pt idx="14">
                  <c:v>92.232404286785339</c:v>
                </c:pt>
                <c:pt idx="15">
                  <c:v>92.413783627901324</c:v>
                </c:pt>
                <c:pt idx="16">
                  <c:v>93.406753966709175</c:v>
                </c:pt>
                <c:pt idx="17">
                  <c:v>95.111378866075782</c:v>
                </c:pt>
                <c:pt idx="18">
                  <c:v>97.448098123281753</c:v>
                </c:pt>
                <c:pt idx="19">
                  <c:v>100.35293825211933</c:v>
                </c:pt>
                <c:pt idx="20">
                  <c:v>103.77398673044294</c:v>
                </c:pt>
                <c:pt idx="21">
                  <c:v>107.66876280160582</c:v>
                </c:pt>
                <c:pt idx="22">
                  <c:v>112.00223343738243</c:v>
                </c:pt>
                <c:pt idx="23">
                  <c:v>116.74529967867296</c:v>
                </c:pt>
                <c:pt idx="24">
                  <c:v>121.8736300912508</c:v>
                </c:pt>
                <c:pt idx="25">
                  <c:v>127.366753257017</c:v>
                </c:pt>
                <c:pt idx="26">
                  <c:v>133.20734559002003</c:v>
                </c:pt>
                <c:pt idx="27">
                  <c:v>139.38066786805749</c:v>
                </c:pt>
                <c:pt idx="28">
                  <c:v>145.87411601975469</c:v>
                </c:pt>
                <c:pt idx="29">
                  <c:v>152.67686043673513</c:v>
                </c:pt>
                <c:pt idx="30">
                  <c:v>159.77955442042824</c:v>
                </c:pt>
                <c:pt idx="31">
                  <c:v>167.17409702362403</c:v>
                </c:pt>
                <c:pt idx="32">
                  <c:v>174.85343899037028</c:v>
                </c:pt>
                <c:pt idx="33">
                  <c:v>182.81142307011424</c:v>
                </c:pt>
                <c:pt idx="34">
                  <c:v>191.04265191956932</c:v>
                </c:pt>
                <c:pt idx="35">
                  <c:v>199.54237827675902</c:v>
                </c:pt>
                <c:pt idx="36">
                  <c:v>208.30641321675529</c:v>
                </c:pt>
                <c:pt idx="37">
                  <c:v>217.33104916519574</c:v>
                </c:pt>
                <c:pt idx="38">
                  <c:v>226.61299501760357</c:v>
                </c:pt>
                <c:pt idx="39">
                  <c:v>236.14932123686276</c:v>
                </c:pt>
                <c:pt idx="40">
                  <c:v>245.9374132128309</c:v>
                </c:pt>
                <c:pt idx="41">
                  <c:v>255.97493149307704</c:v>
                </c:pt>
                <c:pt idx="42">
                  <c:v>266.2597777517575</c:v>
                </c:pt>
                <c:pt idx="43">
                  <c:v>276.79006556956273</c:v>
                </c:pt>
                <c:pt idx="44">
                  <c:v>287.5640952628313</c:v>
                </c:pt>
                <c:pt idx="45">
                  <c:v>298.58033213302389</c:v>
                </c:pt>
                <c:pt idx="46">
                  <c:v>309.83738761551609</c:v>
                </c:pt>
                <c:pt idx="47">
                  <c:v>321.33400289428914</c:v>
                </c:pt>
                <c:pt idx="48">
                  <c:v>333.06903462064992</c:v>
                </c:pt>
                <c:pt idx="49">
                  <c:v>345.04144243277779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2E-489B-B5D6-0B132204C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</a:t>
                </a:r>
                <a:r>
                  <a:rPr lang="en-US" baseline="0"/>
                  <a:t>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Mach versus L/D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(SL)'!$E$2:$E$56</c:f>
              <c:numCache>
                <c:formatCode>General</c:formatCode>
                <c:ptCount val="55"/>
                <c:pt idx="0">
                  <c:v>0.10034794103509641</c:v>
                </c:pt>
                <c:pt idx="1">
                  <c:v>0.40131659797053393</c:v>
                </c:pt>
                <c:pt idx="2">
                  <c:v>0.90223020663132814</c:v>
                </c:pt>
                <c:pt idx="3">
                  <c:v>1.6004710258494776</c:v>
                </c:pt>
                <c:pt idx="4">
                  <c:v>2.4893027858320984</c:v>
                </c:pt>
                <c:pt idx="5">
                  <c:v>3.5550403729736084</c:v>
                </c:pt>
                <c:pt idx="6">
                  <c:v>4.7739831986518233</c:v>
                </c:pt>
                <c:pt idx="7">
                  <c:v>6.1098553846823158</c:v>
                </c:pt>
                <c:pt idx="8">
                  <c:v>7.5127946901739282</c:v>
                </c:pt>
                <c:pt idx="9">
                  <c:v>8.9209789482936408</c:v>
                </c:pt>
                <c:pt idx="10">
                  <c:v>10.265524433313553</c:v>
                </c:pt>
                <c:pt idx="11">
                  <c:v>11.478269778964323</c:v>
                </c:pt>
                <c:pt idx="12">
                  <c:v>12.500801606853495</c:v>
                </c:pt>
                <c:pt idx="13">
                  <c:v>13.29226272020596</c:v>
                </c:pt>
                <c:pt idx="14">
                  <c:v>13.83370541523924</c:v>
                </c:pt>
                <c:pt idx="15">
                  <c:v>14.128001609486185</c:v>
                </c:pt>
                <c:pt idx="16">
                  <c:v>14.195913901172604</c:v>
                </c:pt>
                <c:pt idx="17">
                  <c:v>14.07002307730089</c:v>
                </c:pt>
                <c:pt idx="18">
                  <c:v>13.788396147763574</c:v>
                </c:pt>
                <c:pt idx="19">
                  <c:v>13.389353402882749</c:v>
                </c:pt>
                <c:pt idx="20">
                  <c:v>12.907925382074673</c:v>
                </c:pt>
                <c:pt idx="21">
                  <c:v>12.373966073708681</c:v>
                </c:pt>
                <c:pt idx="22">
                  <c:v>11.811553491406087</c:v>
                </c:pt>
                <c:pt idx="23">
                  <c:v>11.2392249806813</c:v>
                </c:pt>
                <c:pt idx="24">
                  <c:v>10.670656210104422</c:v>
                </c:pt>
                <c:pt idx="25">
                  <c:v>10.115505757748627</c:v>
                </c:pt>
                <c:pt idx="26">
                  <c:v>9.5802559496221953</c:v>
                </c:pt>
                <c:pt idx="27">
                  <c:v>9.0689630688246545</c:v>
                </c:pt>
                <c:pt idx="28">
                  <c:v>8.5838838007720071</c:v>
                </c:pt>
                <c:pt idx="29">
                  <c:v>8.1259755459345673</c:v>
                </c:pt>
                <c:pt idx="30">
                  <c:v>7.695283353006257</c:v>
                </c:pt>
                <c:pt idx="31">
                  <c:v>7.2912318716891473</c:v>
                </c:pt>
                <c:pt idx="32">
                  <c:v>6.9128412313630978</c:v>
                </c:pt>
                <c:pt idx="33">
                  <c:v>6.5588838388397761</c:v>
                </c:pt>
                <c:pt idx="34">
                  <c:v>6.2279963087419921</c:v>
                </c:pt>
                <c:pt idx="35">
                  <c:v>5.9187578990291625</c:v>
                </c:pt>
                <c:pt idx="36">
                  <c:v>5.6297442856162139</c:v>
                </c:pt>
                <c:pt idx="37">
                  <c:v>5.3595633967863003</c:v>
                </c:pt>
                <c:pt idx="38">
                  <c:v>5.1068783429196634</c:v>
                </c:pt>
                <c:pt idx="39">
                  <c:v>4.8704211706154741</c:v>
                </c:pt>
                <c:pt idx="40">
                  <c:v>4.6490001769672062</c:v>
                </c:pt>
                <c:pt idx="41">
                  <c:v>4.4415027749487033</c:v>
                </c:pt>
                <c:pt idx="42">
                  <c:v>4.2468953481105522</c:v>
                </c:pt>
                <c:pt idx="43">
                  <c:v>4.0642211257638587</c:v>
                </c:pt>
                <c:pt idx="44">
                  <c:v>3.8925968119912384</c:v>
                </c:pt>
                <c:pt idx="45">
                  <c:v>3.7312084850380693</c:v>
                </c:pt>
                <c:pt idx="46">
                  <c:v>3.5793071266075938</c:v>
                </c:pt>
                <c:pt idx="47">
                  <c:v>3.436204027385295</c:v>
                </c:pt>
                <c:pt idx="48">
                  <c:v>3.3012662339393524</c:v>
                </c:pt>
                <c:pt idx="49">
                  <c:v>3.1739121442765068</c:v>
                </c:pt>
                <c:pt idx="50">
                  <c:v>3.0536073183851586</c:v>
                </c:pt>
                <c:pt idx="51">
                  <c:v>2.9398605413932981</c:v>
                </c:pt>
                <c:pt idx="52">
                  <c:v>2.8322201570958381</c:v>
                </c:pt>
                <c:pt idx="53">
                  <c:v>2.7302706760784115</c:v>
                </c:pt>
                <c:pt idx="54">
                  <c:v>2.633629653675913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23-4E3D-9055-AC90E545A0E0}"/>
            </c:ext>
          </c:extLst>
        </c:ser>
        <c:ser>
          <c:idx val="1"/>
          <c:order val="1"/>
          <c:tx>
            <c:v>10K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'Numbers (10K)'!$A$2:$A$56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(10K)'!$E$2:$E$56</c:f>
              <c:numCache>
                <c:formatCode>General</c:formatCode>
                <c:ptCount val="55"/>
                <c:pt idx="0">
                  <c:v>6.8990487072450063E-2</c:v>
                </c:pt>
                <c:pt idx="1">
                  <c:v>0.27593751934628663</c:v>
                </c:pt>
                <c:pt idx="2">
                  <c:v>0.62062134873781627</c:v>
                </c:pt>
                <c:pt idx="3">
                  <c:v>1.1021889744944831</c:v>
                </c:pt>
                <c:pt idx="4">
                  <c:v>1.7184333973115904</c:v>
                </c:pt>
                <c:pt idx="5">
                  <c:v>2.4648185542425538</c:v>
                </c:pt>
                <c:pt idx="6">
                  <c:v>3.3333177110841548</c:v>
                </c:pt>
                <c:pt idx="7">
                  <c:v>4.3111944197586372</c:v>
                </c:pt>
                <c:pt idx="8">
                  <c:v>5.379932306115017</c:v>
                </c:pt>
                <c:pt idx="9">
                  <c:v>6.5145928204211954</c:v>
                </c:pt>
                <c:pt idx="10">
                  <c:v>7.6839129850523449</c:v>
                </c:pt>
                <c:pt idx="11">
                  <c:v>8.8514045718926422</c:v>
                </c:pt>
                <c:pt idx="12">
                  <c:v>9.9775516194910949</c:v>
                </c:pt>
                <c:pt idx="13">
                  <c:v>11.02293658869768</c:v>
                </c:pt>
                <c:pt idx="14">
                  <c:v>11.951829453922439</c:v>
                </c:pt>
                <c:pt idx="15">
                  <c:v>12.735566547170299</c:v>
                </c:pt>
                <c:pt idx="16">
                  <c:v>13.355034010366419</c:v>
                </c:pt>
                <c:pt idx="17">
                  <c:v>13.801783055289238</c:v>
                </c:pt>
                <c:pt idx="18">
                  <c:v>14.077663612289628</c:v>
                </c:pt>
                <c:pt idx="19">
                  <c:v>14.19322521553126</c:v>
                </c:pt>
                <c:pt idx="20">
                  <c:v>14.16536835547379</c:v>
                </c:pt>
                <c:pt idx="21">
                  <c:v>14.014781914794284</c:v>
                </c:pt>
                <c:pt idx="22">
                  <c:v>13.76360328090243</c:v>
                </c:pt>
                <c:pt idx="23">
                  <c:v>13.433564240075386</c:v>
                </c:pt>
                <c:pt idx="24">
                  <c:v>13.044713079784971</c:v>
                </c:pt>
                <c:pt idx="25">
                  <c:v>12.614676639653929</c:v>
                </c:pt>
                <c:pt idx="26">
                  <c:v>12.158357281623287</c:v>
                </c:pt>
                <c:pt idx="27">
                  <c:v>11.687939124393848</c:v>
                </c:pt>
                <c:pt idx="28">
                  <c:v>11.213087720150988</c:v>
                </c:pt>
                <c:pt idx="29">
                  <c:v>10.741251288175521</c:v>
                </c:pt>
                <c:pt idx="30">
                  <c:v>10.277998400184188</c:v>
                </c:pt>
                <c:pt idx="31">
                  <c:v>9.8273505895184758</c:v>
                </c:pt>
                <c:pt idx="32">
                  <c:v>9.3920864796794525</c:v>
                </c:pt>
                <c:pt idx="33">
                  <c:v>8.9740066430633636</c:v>
                </c:pt>
                <c:pt idx="34">
                  <c:v>8.574156440390766</c:v>
                </c:pt>
                <c:pt idx="35">
                  <c:v>8.193008742330715</c:v>
                </c:pt>
                <c:pt idx="36">
                  <c:v>7.830610779535327</c:v>
                </c:pt>
                <c:pt idx="37">
                  <c:v>7.4867002546307946</c:v>
                </c:pt>
                <c:pt idx="38">
                  <c:v>7.160795885879633</c:v>
                </c:pt>
                <c:pt idx="39">
                  <c:v>6.8522671406561484</c:v>
                </c:pt>
                <c:pt idx="40">
                  <c:v>6.5603873097905474</c:v>
                </c:pt>
                <c:pt idx="41">
                  <c:v>6.2843734189311986</c:v>
                </c:pt>
                <c:pt idx="42">
                  <c:v>6.0234158498780932</c:v>
                </c:pt>
                <c:pt idx="43">
                  <c:v>5.7766999907069962</c:v>
                </c:pt>
                <c:pt idx="44">
                  <c:v>5.5434217610951535</c:v>
                </c:pt>
                <c:pt idx="45">
                  <c:v>5.32279846775252</c:v>
                </c:pt>
                <c:pt idx="46">
                  <c:v>5.1140761268166575</c:v>
                </c:pt>
                <c:pt idx="47">
                  <c:v>4.916534135444099</c:v>
                </c:pt>
                <c:pt idx="48">
                  <c:v>4.7294879731992348</c:v>
                </c:pt>
                <c:pt idx="49">
                  <c:v>4.552290455509719</c:v>
                </c:pt>
                <c:pt idx="50">
                  <c:v>4.3843319379424299</c:v>
                </c:pt>
                <c:pt idx="51">
                  <c:v>4.2250397742080601</c:v>
                </c:pt>
                <c:pt idx="52">
                  <c:v>4.0738772567524641</c:v>
                </c:pt>
                <c:pt idx="53">
                  <c:v>3.930342211797774</c:v>
                </c:pt>
                <c:pt idx="54">
                  <c:v>3.7939653769773281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23-4E3D-9055-AC90E545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L/D</a:t>
                </a:r>
                <a:r>
                  <a:rPr lang="en-US" baseline="0"/>
                  <a:t> (CL/CD)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Mach versus Endurance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(SL)'!$G$2:$G$56</c:f>
              <c:numCache>
                <c:formatCode>General</c:formatCode>
                <c:ptCount val="55"/>
                <c:pt idx="0">
                  <c:v>4.0873858949392029E-2</c:v>
                </c:pt>
                <c:pt idx="1">
                  <c:v>0.16346481901168697</c:v>
                </c:pt>
                <c:pt idx="2">
                  <c:v>0.36749762700992428</c:v>
                </c:pt>
                <c:pt idx="3">
                  <c:v>0.65190602107402229</c:v>
                </c:pt>
                <c:pt idx="4">
                  <c:v>1.0139461746887657</c:v>
                </c:pt>
                <c:pt idx="5">
                  <c:v>1.4480438488867069</c:v>
                </c:pt>
                <c:pt idx="6">
                  <c:v>1.9445452878820448</c:v>
                </c:pt>
                <c:pt idx="7">
                  <c:v>2.4886745519506457</c:v>
                </c:pt>
                <c:pt idx="8">
                  <c:v>3.0601216857504951</c:v>
                </c:pt>
                <c:pt idx="9">
                  <c:v>3.6337052007426833</c:v>
                </c:pt>
                <c:pt idx="10">
                  <c:v>4.1813672846764716</c:v>
                </c:pt>
                <c:pt idx="11">
                  <c:v>4.675344357731956</c:v>
                </c:pt>
                <c:pt idx="12">
                  <c:v>5.0918434036843623</c:v>
                </c:pt>
                <c:pt idx="13">
                  <c:v>5.4142224139301538</c:v>
                </c:pt>
                <c:pt idx="14">
                  <c:v>5.6347635841593346</c:v>
                </c:pt>
                <c:pt idx="15">
                  <c:v>5.7546367077024021</c:v>
                </c:pt>
                <c:pt idx="16">
                  <c:v>5.782298834126598</c:v>
                </c:pt>
                <c:pt idx="17">
                  <c:v>5.731020813622365</c:v>
                </c:pt>
                <c:pt idx="18">
                  <c:v>5.6163081521016611</c:v>
                </c:pt>
                <c:pt idx="19">
                  <c:v>5.4537695220032862</c:v>
                </c:pt>
                <c:pt idx="20">
                  <c:v>5.2576736099814143</c:v>
                </c:pt>
                <c:pt idx="21">
                  <c:v>5.0401805829223614</c:v>
                </c:pt>
                <c:pt idx="22">
                  <c:v>4.8110979298726138</c:v>
                </c:pt>
                <c:pt idx="23">
                  <c:v>4.5779763074578703</c:v>
                </c:pt>
                <c:pt idx="24">
                  <c:v>4.3463861074809671</c:v>
                </c:pt>
                <c:pt idx="25">
                  <c:v>4.1202614750149573</c:v>
                </c:pt>
                <c:pt idx="26">
                  <c:v>3.9022427998495424</c:v>
                </c:pt>
                <c:pt idx="27">
                  <c:v>3.693982292698351</c:v>
                </c:pt>
                <c:pt idx="28">
                  <c:v>3.4963991497146418</c:v>
                </c:pt>
                <c:pt idx="29">
                  <c:v>3.3098833405517842</c:v>
                </c:pt>
                <c:pt idx="30">
                  <c:v>3.1344532145046631</c:v>
                </c:pt>
                <c:pt idx="31">
                  <c:v>2.9698744191124153</c:v>
                </c:pt>
                <c:pt idx="32">
                  <c:v>2.815747832149881</c:v>
                </c:pt>
                <c:pt idx="33">
                  <c:v>2.6715734287006581</c:v>
                </c:pt>
                <c:pt idx="34">
                  <c:v>2.5367958727904742</c:v>
                </c:pt>
                <c:pt idx="35">
                  <c:v>2.4108364658514136</c:v>
                </c:pt>
                <c:pt idx="36">
                  <c:v>2.2931150502723598</c:v>
                </c:pt>
                <c:pt idx="37">
                  <c:v>2.1830646055204053</c:v>
                </c:pt>
                <c:pt idx="38">
                  <c:v>2.0801405879090011</c:v>
                </c:pt>
                <c:pt idx="39">
                  <c:v>1.9838265329454494</c:v>
                </c:pt>
                <c:pt idx="40">
                  <c:v>1.8936370345914355</c:v>
                </c:pt>
                <c:pt idx="41">
                  <c:v>1.8091189123959512</c:v>
                </c:pt>
                <c:pt idx="42">
                  <c:v>1.7298511523100242</c:v>
                </c:pt>
                <c:pt idx="43">
                  <c:v>1.6554440412037066</c:v>
                </c:pt>
                <c:pt idx="44">
                  <c:v>1.585537793790271</c:v>
                </c:pt>
                <c:pt idx="45">
                  <c:v>1.5198008823607174</c:v>
                </c:pt>
                <c:pt idx="46">
                  <c:v>1.4579282157702111</c:v>
                </c:pt>
                <c:pt idx="47">
                  <c:v>1.3996392680100638</c:v>
                </c:pt>
                <c:pt idx="48">
                  <c:v>1.3446762236330729</c:v>
                </c:pt>
                <c:pt idx="49">
                  <c:v>1.2928021837293864</c:v>
                </c:pt>
                <c:pt idx="50">
                  <c:v>1.2437994594712543</c:v>
                </c:pt>
                <c:pt idx="51">
                  <c:v>1.1974679685531977</c:v>
                </c:pt>
                <c:pt idx="52">
                  <c:v>1.1536237417594066</c:v>
                </c:pt>
                <c:pt idx="53">
                  <c:v>1.1120975413801424</c:v>
                </c:pt>
                <c:pt idx="54">
                  <c:v>1.0727335895375905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A-4342-8657-189015DD22A7}"/>
            </c:ext>
          </c:extLst>
        </c:ser>
        <c:ser>
          <c:idx val="1"/>
          <c:order val="1"/>
          <c:tx>
            <c:v>10K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'Numbers (10K)'!$A$2:$A$56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(10K)'!$G$2:$G$56</c:f>
              <c:numCache>
                <c:formatCode>General</c:formatCode>
                <c:ptCount val="55"/>
                <c:pt idx="0">
                  <c:v>2.9121162508864699E-2</c:v>
                </c:pt>
                <c:pt idx="1">
                  <c:v>0.11647433847999417</c:v>
                </c:pt>
                <c:pt idx="2">
                  <c:v>0.26196677136204632</c:v>
                </c:pt>
                <c:pt idx="3">
                  <c:v>0.46523840610120959</c:v>
                </c:pt>
                <c:pt idx="4">
                  <c:v>0.72535765940047747</c:v>
                </c:pt>
                <c:pt idx="5">
                  <c:v>1.0404098408173954</c:v>
                </c:pt>
                <c:pt idx="6">
                  <c:v>1.4070068335105512</c:v>
                </c:pt>
                <c:pt idx="7">
                  <c:v>1.8197725314398678</c:v>
                </c:pt>
                <c:pt idx="8">
                  <c:v>2.2708910984863819</c:v>
                </c:pt>
                <c:pt idx="9">
                  <c:v>2.749835872347778</c:v>
                </c:pt>
                <c:pt idx="10">
                  <c:v>3.2434106242314202</c:v>
                </c:pt>
                <c:pt idx="11">
                  <c:v>3.7362135260634508</c:v>
                </c:pt>
                <c:pt idx="12">
                  <c:v>4.2115647313325706</c:v>
                </c:pt>
                <c:pt idx="13">
                  <c:v>4.6528259379771919</c:v>
                </c:pt>
                <c:pt idx="14">
                  <c:v>5.0449153582639088</c:v>
                </c:pt>
                <c:pt idx="15">
                  <c:v>5.3757339424656454</c:v>
                </c:pt>
                <c:pt idx="16">
                  <c:v>5.6372136540923243</c:v>
                </c:pt>
                <c:pt idx="17">
                  <c:v>5.8257882256012241</c:v>
                </c:pt>
                <c:pt idx="18">
                  <c:v>5.9422385200455539</c:v>
                </c:pt>
                <c:pt idx="19">
                  <c:v>5.9910175382926694</c:v>
                </c:pt>
                <c:pt idx="20">
                  <c:v>5.9792590454461356</c:v>
                </c:pt>
                <c:pt idx="21">
                  <c:v>5.9156959022253295</c:v>
                </c:pt>
                <c:pt idx="22">
                  <c:v>5.8096723890323005</c:v>
                </c:pt>
                <c:pt idx="23">
                  <c:v>5.6703615803971745</c:v>
                </c:pt>
                <c:pt idx="24">
                  <c:v>5.5062259392226736</c:v>
                </c:pt>
                <c:pt idx="25">
                  <c:v>5.324705825520061</c:v>
                </c:pt>
                <c:pt idx="26">
                  <c:v>5.1320915862960907</c:v>
                </c:pt>
                <c:pt idx="27">
                  <c:v>4.9335261871358691</c:v>
                </c:pt>
                <c:pt idx="28">
                  <c:v>4.7330894965527568</c:v>
                </c:pt>
                <c:pt idx="29">
                  <c:v>4.5339254379089748</c:v>
                </c:pt>
                <c:pt idx="30">
                  <c:v>4.3383845277581372</c:v>
                </c:pt>
                <c:pt idx="31">
                  <c:v>4.1481642715236973</c:v>
                </c:pt>
                <c:pt idx="32">
                  <c:v>3.964437537378632</c:v>
                </c:pt>
                <c:pt idx="33">
                  <c:v>3.7879643541846764</c:v>
                </c:pt>
                <c:pt idx="34">
                  <c:v>3.6191859729130211</c:v>
                </c:pt>
                <c:pt idx="35">
                  <c:v>3.4583019941779471</c:v>
                </c:pt>
                <c:pt idx="36">
                  <c:v>3.305332354227974</c:v>
                </c:pt>
                <c:pt idx="37">
                  <c:v>3.1601663362849988</c:v>
                </c:pt>
                <c:pt idx="38">
                  <c:v>3.0226007893888753</c:v>
                </c:pt>
                <c:pt idx="39">
                  <c:v>2.8923695631783115</c:v>
                </c:pt>
                <c:pt idx="40">
                  <c:v>2.7691659107853233</c:v>
                </c:pt>
                <c:pt idx="41">
                  <c:v>2.6526593355820163</c:v>
                </c:pt>
                <c:pt idx="42">
                  <c:v>2.54250809446477</c:v>
                </c:pt>
                <c:pt idx="43">
                  <c:v>2.4383683364588467</c:v>
                </c:pt>
                <c:pt idx="44">
                  <c:v>2.339900656020923</c:v>
                </c:pt>
                <c:pt idx="45">
                  <c:v>2.2467746751603332</c:v>
                </c:pt>
                <c:pt idx="46">
                  <c:v>2.1586721342514554</c:v>
                </c:pt>
                <c:pt idx="47">
                  <c:v>2.0752888639312466</c:v>
                </c:pt>
                <c:pt idx="48">
                  <c:v>1.9963359253663679</c:v>
                </c:pt>
                <c:pt idx="49">
                  <c:v>1.9215401393417695</c:v>
                </c:pt>
                <c:pt idx="50">
                  <c:v>1.8506441724863882</c:v>
                </c:pt>
                <c:pt idx="51">
                  <c:v>1.7834063084947067</c:v>
                </c:pt>
                <c:pt idx="52">
                  <c:v>1.7196000009460914</c:v>
                </c:pt>
                <c:pt idx="53">
                  <c:v>1.6590132802659892</c:v>
                </c:pt>
                <c:pt idx="54">
                  <c:v>1.6014480689190944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A-4342-8657-189015DD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Endurance</a:t>
                </a:r>
                <a:r>
                  <a:rPr lang="en-US" baseline="0"/>
                  <a:t> Factor (hr)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Mach versus L/D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(SL)'!$H$2:$H$56</c:f>
              <c:numCache>
                <c:formatCode>General</c:formatCode>
                <c:ptCount val="55"/>
                <c:pt idx="0">
                  <c:v>7.9151883739938221E-3</c:v>
                </c:pt>
                <c:pt idx="1">
                  <c:v>6.3309649162331144E-2</c:v>
                </c:pt>
                <c:pt idx="2">
                  <c:v>0.21349681822659444</c:v>
                </c:pt>
                <c:pt idx="3">
                  <c:v>0.50496420857452951</c:v>
                </c:pt>
                <c:pt idx="4">
                  <c:v>0.98174911545407217</c:v>
                </c:pt>
                <c:pt idx="5">
                  <c:v>1.6824748334037802</c:v>
                </c:pt>
                <c:pt idx="6">
                  <c:v>2.6359169052483504</c:v>
                </c:pt>
                <c:pt idx="7">
                  <c:v>3.8554378542321674</c:v>
                </c:pt>
                <c:pt idx="8">
                  <c:v>5.3333098932605374</c:v>
                </c:pt>
                <c:pt idx="9">
                  <c:v>7.0366395292038311</c:v>
                </c:pt>
                <c:pt idx="10">
                  <c:v>8.9069007983934849</c:v>
                </c:pt>
                <c:pt idx="11">
                  <c:v>10.864517984628812</c:v>
                </c:pt>
                <c:pt idx="12">
                  <c:v>12.818405448142988</c:v>
                </c:pt>
                <c:pt idx="13">
                  <c:v>14.678434571402713</c:v>
                </c:pt>
                <c:pt idx="14">
                  <c:v>16.367508362776615</c:v>
                </c:pt>
                <c:pt idx="15">
                  <c:v>17.830088858215486</c:v>
                </c:pt>
                <c:pt idx="16">
                  <c:v>19.035534119241753</c:v>
                </c:pt>
                <c:pt idx="17">
                  <c:v>19.976532401376105</c:v>
                </c:pt>
                <c:pt idx="18">
                  <c:v>20.664273560789333</c:v>
                </c:pt>
                <c:pt idx="19">
                  <c:v>21.122357528536877</c:v>
                </c:pt>
                <c:pt idx="20">
                  <c:v>21.38102543128139</c:v>
                </c:pt>
                <c:pt idx="21">
                  <c:v>21.47258798460323</c:v>
                </c:pt>
                <c:pt idx="22">
                  <c:v>21.428296464494139</c:v>
                </c:pt>
                <c:pt idx="23">
                  <c:v>21.276510186175322</c:v>
                </c:pt>
                <c:pt idx="24">
                  <c:v>21.041850262668508</c:v>
                </c:pt>
                <c:pt idx="25">
                  <c:v>20.745014310883686</c:v>
                </c:pt>
                <c:pt idx="26">
                  <c:v>20.402982888477666</c:v>
                </c:pt>
                <c:pt idx="27">
                  <c:v>20.029423708854832</c:v>
                </c:pt>
                <c:pt idx="28">
                  <c:v>19.63516780035204</c:v>
                </c:pt>
                <c:pt idx="29">
                  <c:v>19.228683669566507</c:v>
                </c:pt>
                <c:pt idx="30">
                  <c:v>18.816511009219521</c:v>
                </c:pt>
                <c:pt idx="31">
                  <c:v>18.403637789902309</c:v>
                </c:pt>
                <c:pt idx="32">
                  <c:v>17.993817505216601</c:v>
                </c:pt>
                <c:pt idx="33">
                  <c:v>17.589830139511474</c:v>
                </c:pt>
                <c:pt idx="34">
                  <c:v>17.193693476626986</c:v>
                </c:pt>
                <c:pt idx="35">
                  <c:v>16.806832269750416</c:v>
                </c:pt>
                <c:pt idx="36">
                  <c:v>16.430212560035088</c:v>
                </c:pt>
                <c:pt idx="37">
                  <c:v>16.064447671899661</c:v>
                </c:pt>
                <c:pt idx="38">
                  <c:v>15.709881469840058</c:v>
                </c:pt>
                <c:pt idx="39">
                  <c:v>15.366653517136388</c:v>
                </c:pt>
                <c:pt idx="40">
                  <c:v>15.034749917597235</c:v>
                </c:pt>
                <c:pt idx="41">
                  <c:v>14.714042880378301</c:v>
                </c:pt>
                <c:pt idx="42">
                  <c:v>14.404321429441017</c:v>
                </c:pt>
                <c:pt idx="43">
                  <c:v>14.105315174133429</c:v>
                </c:pt>
                <c:pt idx="44">
                  <c:v>13.816712650899474</c:v>
                </c:pt>
                <c:pt idx="45">
                  <c:v>13.5381754222939</c:v>
                </c:pt>
                <c:pt idx="46">
                  <c:v>13.269348863289016</c:v>
                </c:pt>
                <c:pt idx="47">
                  <c:v>13.009870363144573</c:v>
                </c:pt>
                <c:pt idx="48">
                  <c:v>12.759375512793163</c:v>
                </c:pt>
                <c:pt idx="49">
                  <c:v>12.517502723682602</c:v>
                </c:pt>
                <c:pt idx="50">
                  <c:v>12.283896626990453</c:v>
                </c:pt>
                <c:pt idx="51">
                  <c:v>12.058210526248564</c:v>
                </c:pt>
                <c:pt idx="52">
                  <c:v>11.840108117079945</c:v>
                </c:pt>
                <c:pt idx="53">
                  <c:v>11.62926464133497</c:v>
                </c:pt>
                <c:pt idx="54">
                  <c:v>11.425367606585608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30-448B-841A-FD29F79B843F}"/>
            </c:ext>
          </c:extLst>
        </c:ser>
        <c:ser>
          <c:idx val="1"/>
          <c:order val="1"/>
          <c:tx>
            <c:v>10K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'Numbers (10K)'!$A$2:$A$56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(10K)'!$H$2:$H$56</c:f>
              <c:numCache>
                <c:formatCode>General</c:formatCode>
                <c:ptCount val="55"/>
                <c:pt idx="0">
                  <c:v>4.5121231352559946E-3</c:v>
                </c:pt>
                <c:pt idx="1">
                  <c:v>3.6093789673351043E-2</c:v>
                </c:pt>
                <c:pt idx="2">
                  <c:v>0.1217698293505133</c:v>
                </c:pt>
                <c:pt idx="3">
                  <c:v>0.28834191972107914</c:v>
                </c:pt>
                <c:pt idx="4">
                  <c:v>0.56194581437463842</c:v>
                </c:pt>
                <c:pt idx="5">
                  <c:v>0.96722594329216394</c:v>
                </c:pt>
                <c:pt idx="6">
                  <c:v>1.5260419834234213</c:v>
                </c:pt>
                <c:pt idx="7">
                  <c:v>2.2556895487983879</c:v>
                </c:pt>
                <c:pt idx="8">
                  <c:v>3.1667301173184139</c:v>
                </c:pt>
                <c:pt idx="9">
                  <c:v>4.2606808893705033</c:v>
                </c:pt>
                <c:pt idx="10">
                  <c:v>5.5279849907441889</c:v>
                </c:pt>
                <c:pt idx="11">
                  <c:v>6.9468059803212157</c:v>
                </c:pt>
                <c:pt idx="12">
                  <c:v>8.4831875273921362</c:v>
                </c:pt>
                <c:pt idx="13">
                  <c:v>10.092925711240207</c:v>
                </c:pt>
                <c:pt idx="14">
                  <c:v>11.72512221816431</c:v>
                </c:pt>
                <c:pt idx="15">
                  <c:v>13.326925933480277</c:v>
                </c:pt>
                <c:pt idx="16">
                  <c:v>14.848604906056137</c:v>
                </c:pt>
                <c:pt idx="17">
                  <c:v>16.24798216297296</c:v>
                </c:pt>
                <c:pt idx="18">
                  <c:v>17.493468056900419</c:v>
                </c:pt>
                <c:pt idx="19">
                  <c:v>18.565336346051406</c:v>
                </c:pt>
                <c:pt idx="20">
                  <c:v>19.455343319865886</c:v>
                </c:pt>
                <c:pt idx="21">
                  <c:v>20.165117492675027</c:v>
                </c:pt>
                <c:pt idx="22">
                  <c:v>20.703878675760638</c:v>
                </c:pt>
                <c:pt idx="23">
                  <c:v>21.086001355382809</c:v>
                </c:pt>
                <c:pt idx="24">
                  <c:v>21.328792626968756</c:v>
                </c:pt>
                <c:pt idx="25">
                  <c:v>21.4506868243204</c:v>
                </c:pt>
                <c:pt idx="26">
                  <c:v>21.469918573364463</c:v>
                </c:pt>
                <c:pt idx="27">
                  <c:v>21.40364327614121</c:v>
                </c:pt>
                <c:pt idx="28">
                  <c:v>21.267426935714631</c:v>
                </c:pt>
                <c:pt idx="29">
                  <c:v>21.075013597778554</c:v>
                </c:pt>
                <c:pt idx="30">
                  <c:v>20.838284904753827</c:v>
                </c:pt>
                <c:pt idx="31">
                  <c:v>20.567341538167565</c:v>
                </c:pt>
                <c:pt idx="32">
                  <c:v>20.270653712153827</c:v>
                </c:pt>
                <c:pt idx="33">
                  <c:v>19.95524368769691</c:v>
                </c:pt>
                <c:pt idx="34">
                  <c:v>19.626876035499343</c:v>
                </c:pt>
                <c:pt idx="35">
                  <c:v>19.290240887456296</c:v>
                </c:pt>
                <c:pt idx="36">
                  <c:v>18.949122085536356</c:v>
                </c:pt>
                <c:pt idx="37">
                  <c:v>18.606546563825873</c:v>
                </c:pt>
                <c:pt idx="38">
                  <c:v>18.26491407770639</c:v>
                </c:pt>
                <c:pt idx="39">
                  <c:v>17.926108022307687</c:v>
                </c:pt>
                <c:pt idx="40">
                  <c:v>17.59158894402448</c:v>
                </c:pt>
                <c:pt idx="41">
                  <c:v>17.262472721833632</c:v>
                </c:pt>
                <c:pt idx="42">
                  <c:v>16.93959547178347</c:v>
                </c:pt>
                <c:pt idx="43">
                  <c:v>16.623567136578046</c:v>
                </c:pt>
                <c:pt idx="44">
                  <c:v>16.314815545081515</c:v>
                </c:pt>
                <c:pt idx="45">
                  <c:v>16.013622514793553</c:v>
                </c:pt>
                <c:pt idx="46">
                  <c:v>15.720153353936388</c:v>
                </c:pt>
                <c:pt idx="47">
                  <c:v>15.434480915271724</c:v>
                </c:pt>
                <c:pt idx="48">
                  <c:v>15.156605169194968</c:v>
                </c:pt>
                <c:pt idx="49">
                  <c:v>14.886469101993686</c:v>
                </c:pt>
                <c:pt idx="50">
                  <c:v>14.623971606431963</c:v>
                </c:pt>
                <c:pt idx="51">
                  <c:v>14.368977914493863</c:v>
                </c:pt>
                <c:pt idx="52">
                  <c:v>14.1213280239255</c:v>
                </c:pt>
                <c:pt idx="53">
                  <c:v>13.880843488667262</c:v>
                </c:pt>
                <c:pt idx="54">
                  <c:v>13.647332875927225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30-448B-841A-FD29F79B8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L/D</a:t>
                </a:r>
                <a:r>
                  <a:rPr lang="en-US" baseline="0"/>
                  <a:t> (L^1/2/D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Mach versus 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(SL)'!$I$2:$I$56</c:f>
              <c:numCache>
                <c:formatCode>General</c:formatCode>
                <c:ptCount val="55"/>
                <c:pt idx="0">
                  <c:v>0.40092659172776479</c:v>
                </c:pt>
                <c:pt idx="1">
                  <c:v>3.2068121013431456</c:v>
                </c:pt>
                <c:pt idx="2">
                  <c:v>10.814215358101528</c:v>
                </c:pt>
                <c:pt idx="3">
                  <c:v>25.577859871721643</c:v>
                </c:pt>
                <c:pt idx="4">
                  <c:v>49.728358719041175</c:v>
                </c:pt>
                <c:pt idx="5">
                  <c:v>85.222090587334264</c:v>
                </c:pt>
                <c:pt idx="6">
                  <c:v>133.51661779409767</c:v>
                </c:pt>
                <c:pt idx="7">
                  <c:v>195.28878978979512</c:v>
                </c:pt>
                <c:pt idx="8">
                  <c:v>270.14717238548758</c:v>
                </c:pt>
                <c:pt idx="9">
                  <c:v>356.42561747864693</c:v>
                </c:pt>
                <c:pt idx="10">
                  <c:v>451.15962011594621</c:v>
                </c:pt>
                <c:pt idx="11">
                  <c:v>550.31844607184746</c:v>
                </c:pt>
                <c:pt idx="12">
                  <c:v>649.28835106364477</c:v>
                </c:pt>
                <c:pt idx="13">
                  <c:v>743.5040666811143</c:v>
                </c:pt>
                <c:pt idx="14">
                  <c:v>829.06041308181727</c:v>
                </c:pt>
                <c:pt idx="15">
                  <c:v>903.14423591166303</c:v>
                </c:pt>
                <c:pt idx="16">
                  <c:v>964.20343465487463</c:v>
                </c:pt>
                <c:pt idx="17">
                  <c:v>1011.8676488531585</c:v>
                </c:pt>
                <c:pt idx="18">
                  <c:v>1046.7036762483369</c:v>
                </c:pt>
                <c:pt idx="19">
                  <c:v>1069.9069198398074</c:v>
                </c:pt>
                <c:pt idx="20">
                  <c:v>1083.0091778956569</c:v>
                </c:pt>
                <c:pt idx="21">
                  <c:v>1087.6470791936008</c:v>
                </c:pt>
                <c:pt idx="22">
                  <c:v>1085.4035889112818</c:v>
                </c:pt>
                <c:pt idx="23">
                  <c:v>1077.7151862653825</c:v>
                </c:pt>
                <c:pt idx="24">
                  <c:v>1065.8289999990141</c:v>
                </c:pt>
                <c:pt idx="25">
                  <c:v>1050.7934227230046</c:v>
                </c:pt>
                <c:pt idx="26">
                  <c:v>1033.4685675244095</c:v>
                </c:pt>
                <c:pt idx="27">
                  <c:v>1014.5467425951525</c:v>
                </c:pt>
                <c:pt idx="28">
                  <c:v>994.57657003629004</c:v>
                </c:pt>
                <c:pt idx="29">
                  <c:v>973.98700356649863</c:v>
                </c:pt>
                <c:pt idx="30">
                  <c:v>953.10929704731689</c:v>
                </c:pt>
                <c:pt idx="31">
                  <c:v>932.19610524250868</c:v>
                </c:pt>
                <c:pt idx="32">
                  <c:v>911.43755317825298</c:v>
                </c:pt>
                <c:pt idx="33">
                  <c:v>890.97445489427503</c:v>
                </c:pt>
                <c:pt idx="34">
                  <c:v>870.90901682706328</c:v>
                </c:pt>
                <c:pt idx="35">
                  <c:v>851.3134067397126</c:v>
                </c:pt>
                <c:pt idx="36">
                  <c:v>832.23655733840428</c:v>
                </c:pt>
                <c:pt idx="37">
                  <c:v>813.70953523294929</c:v>
                </c:pt>
                <c:pt idx="38">
                  <c:v>795.74975812888454</c:v>
                </c:pt>
                <c:pt idx="39">
                  <c:v>778.36429529955876</c:v>
                </c:pt>
                <c:pt idx="40">
                  <c:v>761.55244286372522</c:v>
                </c:pt>
                <c:pt idx="41">
                  <c:v>745.30772785507691</c:v>
                </c:pt>
                <c:pt idx="42">
                  <c:v>729.6194637428473</c:v>
                </c:pt>
                <c:pt idx="43">
                  <c:v>714.4739544787052</c:v>
                </c:pt>
                <c:pt idx="44">
                  <c:v>699.85542355600535</c:v>
                </c:pt>
                <c:pt idx="45">
                  <c:v>685.74672816461793</c:v>
                </c:pt>
                <c:pt idx="46">
                  <c:v>672.1299055477549</c:v>
                </c:pt>
                <c:pt idx="47">
                  <c:v>658.98658844978775</c:v>
                </c:pt>
                <c:pt idx="48">
                  <c:v>646.29831852475093</c:v>
                </c:pt>
                <c:pt idx="49">
                  <c:v>634.04678029372133</c:v>
                </c:pt>
                <c:pt idx="50">
                  <c:v>622.21397332461163</c:v>
                </c:pt>
                <c:pt idx="51">
                  <c:v>610.7823364645127</c:v>
                </c:pt>
                <c:pt idx="52">
                  <c:v>599.73483494921174</c:v>
                </c:pt>
                <c:pt idx="53">
                  <c:v>589.05501886344314</c:v>
                </c:pt>
                <c:pt idx="54">
                  <c:v>578.72705958529764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0-48D3-A622-6C73D188B001}"/>
            </c:ext>
          </c:extLst>
        </c:ser>
        <c:ser>
          <c:idx val="1"/>
          <c:order val="1"/>
          <c:tx>
            <c:v>10K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'Numbers (10K)'!$A$2:$A$56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(10K)'!$I$2:$I$56</c:f>
              <c:numCache>
                <c:formatCode>General</c:formatCode>
                <c:ptCount val="55"/>
                <c:pt idx="0">
                  <c:v>0.27564213633363721</c:v>
                </c:pt>
                <c:pt idx="1">
                  <c:v>2.2049418856063641</c:v>
                </c:pt>
                <c:pt idx="2">
                  <c:v>7.4388253372109299</c:v>
                </c:pt>
                <c:pt idx="3">
                  <c:v>17.61458638516325</c:v>
                </c:pt>
                <c:pt idx="4">
                  <c:v>34.328838140004095</c:v>
                </c:pt>
                <c:pt idx="5">
                  <c:v>59.087089898587948</c:v>
                </c:pt>
                <c:pt idx="6">
                  <c:v>93.22473253420813</c:v>
                </c:pt>
                <c:pt idx="7">
                  <c:v>137.79834182228501</c:v>
                </c:pt>
                <c:pt idx="8">
                  <c:v>193.45311033498518</c:v>
                </c:pt>
                <c:pt idx="9">
                  <c:v>260.28172267850931</c:v>
                </c:pt>
                <c:pt idx="10">
                  <c:v>337.70035674847787</c:v>
                </c:pt>
                <c:pt idx="11">
                  <c:v>424.37504113069571</c:v>
                </c:pt>
                <c:pt idx="12">
                  <c:v>518.23140966576693</c:v>
                </c:pt>
                <c:pt idx="13">
                  <c:v>616.56907879246216</c:v>
                </c:pt>
                <c:pt idx="14">
                  <c:v>716.27870962445297</c:v>
                </c:pt>
                <c:pt idx="15">
                  <c:v>814.13166816340481</c:v>
                </c:pt>
                <c:pt idx="16">
                  <c:v>907.08986771639354</c:v>
                </c:pt>
                <c:pt idx="17">
                  <c:v>992.57674940615368</c:v>
                </c:pt>
                <c:pt idx="18">
                  <c:v>1068.6625259429452</c:v>
                </c:pt>
                <c:pt idx="19">
                  <c:v>1134.1421363687575</c:v>
                </c:pt>
                <c:pt idx="20">
                  <c:v>1188.5119787379067</c:v>
                </c:pt>
                <c:pt idx="21">
                  <c:v>1231.8715377399358</c:v>
                </c:pt>
                <c:pt idx="22">
                  <c:v>1264.784044563828</c:v>
                </c:pt>
                <c:pt idx="23">
                  <c:v>1288.1276255334135</c:v>
                </c:pt>
                <c:pt idx="24">
                  <c:v>1302.959557813851</c:v>
                </c:pt>
                <c:pt idx="25">
                  <c:v>1310.4059806967171</c:v>
                </c:pt>
                <c:pt idx="26">
                  <c:v>1311.5808334729011</c:v>
                </c:pt>
                <c:pt idx="27">
                  <c:v>1307.5321264750746</c:v>
                </c:pt>
                <c:pt idx="28">
                  <c:v>1299.2107748733522</c:v>
                </c:pt>
                <c:pt idx="29">
                  <c:v>1287.4563918616443</c:v>
                </c:pt>
                <c:pt idx="30">
                  <c:v>1272.9948178485267</c:v>
                </c:pt>
                <c:pt idx="31">
                  <c:v>1256.4430957096254</c:v>
                </c:pt>
                <c:pt idx="32">
                  <c:v>1238.3186643199733</c:v>
                </c:pt>
                <c:pt idx="33">
                  <c:v>1219.050508208933</c:v>
                </c:pt>
                <c:pt idx="34">
                  <c:v>1198.9907805726521</c:v>
                </c:pt>
                <c:pt idx="35">
                  <c:v>1178.4259979658686</c:v>
                </c:pt>
                <c:pt idx="36">
                  <c:v>1157.5873123878771</c:v>
                </c:pt>
                <c:pt idx="37">
                  <c:v>1136.6596369168635</c:v>
                </c:pt>
                <c:pt idx="38">
                  <c:v>1115.7895707657094</c:v>
                </c:pt>
                <c:pt idx="39">
                  <c:v>1095.0921690961579</c:v>
                </c:pt>
                <c:pt idx="40">
                  <c:v>1074.6566555655388</c:v>
                </c:pt>
                <c:pt idx="41">
                  <c:v>1054.5511983633839</c:v>
                </c:pt>
                <c:pt idx="42">
                  <c:v>1034.8268751768212</c:v>
                </c:pt>
                <c:pt idx="43">
                  <c:v>1015.5209469371115</c:v>
                </c:pt>
                <c:pt idx="44">
                  <c:v>996.65954938092841</c:v>
                </c:pt>
                <c:pt idx="45">
                  <c:v>978.25989852284863</c:v>
                </c:pt>
                <c:pt idx="46">
                  <c:v>960.3320929151854</c:v>
                </c:pt>
                <c:pt idx="47">
                  <c:v>942.88058307718984</c:v>
                </c:pt>
                <c:pt idx="48">
                  <c:v>925.90536720033947</c:v>
                </c:pt>
                <c:pt idx="49">
                  <c:v>909.40296236073789</c:v>
                </c:pt>
                <c:pt idx="50">
                  <c:v>893.36719199500783</c:v>
                </c:pt>
                <c:pt idx="51">
                  <c:v>877.7898232285786</c:v>
                </c:pt>
                <c:pt idx="52">
                  <c:v>862.6610816466665</c:v>
                </c:pt>
                <c:pt idx="53">
                  <c:v>847.97006611656332</c:v>
                </c:pt>
                <c:pt idx="54">
                  <c:v>833.70508215606071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A0-48D3-A622-6C73D188B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Range</a:t>
                </a:r>
                <a:r>
                  <a:rPr lang="en-US" baseline="0"/>
                  <a:t> (nm)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E77FA3-C1B1-4990-A26F-9EB516DFB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758DEF-4107-4F4F-AC9E-BF3181847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30B105-D3CB-48B6-A745-C416D85BD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2D75BE-945C-4D00-9912-9D69FECD0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BEB719-50F2-4850-BE15-AA60E79CB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ere\Documents\Spring24\Performance-Design\HW7.xlsm" TargetMode="External"/><Relationship Id="rId1" Type="http://schemas.openxmlformats.org/officeDocument/2006/relationships/externalLinkPath" Target="HW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titude Table"/>
      <sheetName val="Numbers"/>
      <sheetName val="Chart A"/>
      <sheetName val="Chart B"/>
      <sheetName val="Chart C"/>
    </sheetNames>
    <sheetDataSet>
      <sheetData sheetId="0" refreshError="1"/>
      <sheetData sheetId="1">
        <row r="2">
          <cell r="L2">
            <v>0</v>
          </cell>
          <cell r="M2">
            <v>0</v>
          </cell>
          <cell r="N2">
            <v>0</v>
          </cell>
        </row>
        <row r="3">
          <cell r="L3">
            <v>0.01</v>
          </cell>
          <cell r="M3">
            <v>5.774537849558406E-3</v>
          </cell>
          <cell r="N3">
            <v>-5.774537849558406E-3</v>
          </cell>
        </row>
        <row r="4">
          <cell r="L4">
            <v>0.02</v>
          </cell>
          <cell r="M4">
            <v>2.3098151398233624E-2</v>
          </cell>
          <cell r="N4">
            <v>-2.3098151398233624E-2</v>
          </cell>
        </row>
        <row r="5">
          <cell r="L5">
            <v>0.03</v>
          </cell>
          <cell r="M5">
            <v>5.1970840646025633E-2</v>
          </cell>
          <cell r="N5">
            <v>-5.1970840646025633E-2</v>
          </cell>
        </row>
        <row r="6">
          <cell r="L6">
            <v>0.04</v>
          </cell>
          <cell r="M6">
            <v>9.2392605592934496E-2</v>
          </cell>
          <cell r="N6">
            <v>-9.2392605592934496E-2</v>
          </cell>
        </row>
        <row r="7">
          <cell r="L7">
            <v>0.05</v>
          </cell>
          <cell r="M7">
            <v>0.14436344623896011</v>
          </cell>
          <cell r="N7">
            <v>-0.14436344623896011</v>
          </cell>
        </row>
        <row r="8">
          <cell r="L8">
            <v>0.06</v>
          </cell>
          <cell r="M8">
            <v>0.20788336258410253</v>
          </cell>
          <cell r="N8">
            <v>-0.20788336258410253</v>
          </cell>
        </row>
        <row r="9">
          <cell r="L9">
            <v>7.0000000000000007E-2</v>
          </cell>
          <cell r="M9">
            <v>0.28295235462836182</v>
          </cell>
          <cell r="N9">
            <v>-0.28295235462836182</v>
          </cell>
        </row>
        <row r="10">
          <cell r="L10">
            <v>0.08</v>
          </cell>
          <cell r="M10">
            <v>0.36957042237173798</v>
          </cell>
          <cell r="N10">
            <v>-0.36957042237173798</v>
          </cell>
        </row>
        <row r="11">
          <cell r="L11">
            <v>0.09</v>
          </cell>
          <cell r="M11">
            <v>0.46773756581423076</v>
          </cell>
          <cell r="N11">
            <v>-0.46773756581423076</v>
          </cell>
        </row>
        <row r="12">
          <cell r="L12">
            <v>0.1</v>
          </cell>
          <cell r="M12">
            <v>0.57745378495584043</v>
          </cell>
          <cell r="N12">
            <v>-0.57745378495584043</v>
          </cell>
        </row>
        <row r="13">
          <cell r="L13">
            <v>0.11</v>
          </cell>
          <cell r="M13">
            <v>0.69871907979656689</v>
          </cell>
          <cell r="N13">
            <v>-0.69871907979656689</v>
          </cell>
        </row>
        <row r="14">
          <cell r="L14">
            <v>0.12</v>
          </cell>
          <cell r="M14">
            <v>0.83153345033641013</v>
          </cell>
          <cell r="N14">
            <v>-0.83153345033641013</v>
          </cell>
        </row>
        <row r="15">
          <cell r="L15">
            <v>0.13</v>
          </cell>
          <cell r="M15">
            <v>0.97589689657537015</v>
          </cell>
          <cell r="N15">
            <v>-0.97589689657537015</v>
          </cell>
        </row>
        <row r="16">
          <cell r="L16">
            <v>0.14000000000000001</v>
          </cell>
          <cell r="M16">
            <v>1.1318094185134473</v>
          </cell>
          <cell r="N16">
            <v>-1.1318094185134473</v>
          </cell>
        </row>
        <row r="17">
          <cell r="L17">
            <v>0.15</v>
          </cell>
          <cell r="M17">
            <v>1.2992710161506411</v>
          </cell>
          <cell r="N17">
            <v>-1.2992710161506411</v>
          </cell>
        </row>
        <row r="18">
          <cell r="L18">
            <v>0.16</v>
          </cell>
          <cell r="M18">
            <v>1.4782816894869519</v>
          </cell>
          <cell r="N18">
            <v>-1.4782816894869519</v>
          </cell>
        </row>
        <row r="19">
          <cell r="L19">
            <v>0.17</v>
          </cell>
          <cell r="M19">
            <v>1.6688414385223791</v>
          </cell>
          <cell r="N19">
            <v>-1.5</v>
          </cell>
        </row>
        <row r="20">
          <cell r="L20">
            <v>0.18</v>
          </cell>
          <cell r="M20">
            <v>1.870950263256923</v>
          </cell>
          <cell r="N20">
            <v>-1.5</v>
          </cell>
        </row>
        <row r="21">
          <cell r="L21">
            <v>0.19</v>
          </cell>
          <cell r="M21">
            <v>2.084608163690584</v>
          </cell>
          <cell r="N21">
            <v>-1.5</v>
          </cell>
        </row>
        <row r="22">
          <cell r="L22">
            <v>0.2</v>
          </cell>
          <cell r="M22">
            <v>2.3098151398233617</v>
          </cell>
          <cell r="N22">
            <v>-1.5</v>
          </cell>
        </row>
        <row r="23">
          <cell r="L23">
            <v>0.21</v>
          </cell>
          <cell r="M23">
            <v>2.5465711916552558</v>
          </cell>
          <cell r="N23">
            <v>-1.5</v>
          </cell>
        </row>
        <row r="24">
          <cell r="L24">
            <v>0.22</v>
          </cell>
          <cell r="M24">
            <v>2.7948763191862676</v>
          </cell>
          <cell r="N24">
            <v>-1.5</v>
          </cell>
        </row>
        <row r="25">
          <cell r="L25">
            <v>0.23</v>
          </cell>
          <cell r="M25">
            <v>3.054730522416397</v>
          </cell>
          <cell r="N25">
            <v>-1.5</v>
          </cell>
        </row>
        <row r="26">
          <cell r="L26">
            <v>0.24</v>
          </cell>
          <cell r="M26">
            <v>3.3261338013456405</v>
          </cell>
          <cell r="N26">
            <v>-1.5</v>
          </cell>
        </row>
        <row r="27">
          <cell r="L27">
            <v>0.25</v>
          </cell>
          <cell r="M27">
            <v>3.6090861559740031</v>
          </cell>
          <cell r="N27">
            <v>-1.5</v>
          </cell>
        </row>
        <row r="28">
          <cell r="L28">
            <v>0.26</v>
          </cell>
          <cell r="M28">
            <v>3.9035875863014806</v>
          </cell>
          <cell r="N28">
            <v>-1.5</v>
          </cell>
        </row>
        <row r="29">
          <cell r="L29">
            <v>0.27</v>
          </cell>
          <cell r="M29">
            <v>4.2096380923280767</v>
          </cell>
          <cell r="N29">
            <v>-1.5</v>
          </cell>
        </row>
        <row r="30">
          <cell r="L30">
            <v>0.28000000000000003</v>
          </cell>
          <cell r="M30">
            <v>4.5272376740537892</v>
          </cell>
          <cell r="N30">
            <v>-1.5</v>
          </cell>
        </row>
        <row r="31">
          <cell r="L31">
            <v>0.28999999999999998</v>
          </cell>
          <cell r="M31">
            <v>4.8563863314786166</v>
          </cell>
          <cell r="N31">
            <v>-1.5</v>
          </cell>
        </row>
        <row r="32">
          <cell r="L32">
            <v>0.3</v>
          </cell>
          <cell r="M32">
            <v>5.1970840646025644</v>
          </cell>
          <cell r="N32">
            <v>-1.5</v>
          </cell>
        </row>
        <row r="33">
          <cell r="L33">
            <v>0.31</v>
          </cell>
          <cell r="M33">
            <v>5.5493308734256264</v>
          </cell>
          <cell r="N33">
            <v>-1.5</v>
          </cell>
        </row>
        <row r="34">
          <cell r="L34">
            <v>0.32</v>
          </cell>
          <cell r="M34">
            <v>5.9131267579478077</v>
          </cell>
          <cell r="N34">
            <v>-1.5</v>
          </cell>
        </row>
        <row r="35">
          <cell r="L35">
            <v>0.33</v>
          </cell>
          <cell r="M35">
            <v>6</v>
          </cell>
          <cell r="N35">
            <v>-1.5</v>
          </cell>
        </row>
        <row r="36">
          <cell r="L36">
            <v>0.34</v>
          </cell>
          <cell r="M36">
            <v>6</v>
          </cell>
          <cell r="N36">
            <v>-1.5</v>
          </cell>
        </row>
        <row r="37">
          <cell r="L37">
            <v>0.35</v>
          </cell>
          <cell r="M37">
            <v>6</v>
          </cell>
          <cell r="N37">
            <v>-1.5</v>
          </cell>
        </row>
        <row r="38">
          <cell r="L38">
            <v>0.36</v>
          </cell>
          <cell r="M38">
            <v>6</v>
          </cell>
          <cell r="N38">
            <v>-1.5</v>
          </cell>
        </row>
        <row r="39">
          <cell r="L39">
            <v>0.37</v>
          </cell>
          <cell r="M39">
            <v>6</v>
          </cell>
          <cell r="N39">
            <v>-1.5</v>
          </cell>
        </row>
        <row r="40">
          <cell r="L40">
            <v>0.38</v>
          </cell>
          <cell r="M40">
            <v>6</v>
          </cell>
          <cell r="N40">
            <v>-1.5</v>
          </cell>
        </row>
        <row r="41">
          <cell r="L41">
            <v>0.39</v>
          </cell>
          <cell r="M41">
            <v>6</v>
          </cell>
          <cell r="N41">
            <v>-1.5</v>
          </cell>
        </row>
        <row r="42">
          <cell r="L42">
            <v>0.4</v>
          </cell>
          <cell r="M42">
            <v>6</v>
          </cell>
          <cell r="N42">
            <v>-1.5</v>
          </cell>
        </row>
        <row r="43">
          <cell r="L43">
            <v>0.41</v>
          </cell>
          <cell r="M43">
            <v>6</v>
          </cell>
          <cell r="N43">
            <v>-1.5</v>
          </cell>
        </row>
        <row r="44">
          <cell r="L44">
            <v>0.42</v>
          </cell>
          <cell r="M44">
            <v>6</v>
          </cell>
          <cell r="N44">
            <v>-1.5</v>
          </cell>
        </row>
        <row r="45">
          <cell r="L45">
            <v>0.43</v>
          </cell>
          <cell r="M45">
            <v>6</v>
          </cell>
          <cell r="N45">
            <v>-1.5</v>
          </cell>
        </row>
        <row r="46">
          <cell r="L46">
            <v>0.44</v>
          </cell>
          <cell r="M46">
            <v>6</v>
          </cell>
          <cell r="N46">
            <v>-1.5</v>
          </cell>
        </row>
        <row r="47">
          <cell r="L47">
            <v>0.45</v>
          </cell>
          <cell r="M47">
            <v>6</v>
          </cell>
          <cell r="N47">
            <v>-1.5</v>
          </cell>
        </row>
        <row r="48">
          <cell r="L48">
            <v>0.46</v>
          </cell>
          <cell r="M48">
            <v>6</v>
          </cell>
          <cell r="N48">
            <v>-1.5</v>
          </cell>
        </row>
        <row r="49">
          <cell r="L49">
            <v>0.47</v>
          </cell>
          <cell r="M49">
            <v>6</v>
          </cell>
          <cell r="N49">
            <v>-1.5</v>
          </cell>
        </row>
      </sheetData>
      <sheetData sheetId="2" refreshError="1"/>
      <sheetData sheetId="3" refreshError="1"/>
      <sheetData sheetId="4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K1" workbookViewId="0">
      <selection activeCell="N19" sqref="N19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9"/>
  <sheetViews>
    <sheetView workbookViewId="0">
      <selection activeCell="F8" sqref="F8"/>
    </sheetView>
  </sheetViews>
  <sheetFormatPr defaultRowHeight="15" x14ac:dyDescent="0.25"/>
  <cols>
    <col min="1" max="1" width="20.5703125" bestFit="1" customWidth="1"/>
    <col min="3" max="3" width="5.425781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6"/>
  <sheetViews>
    <sheetView topLeftCell="A18" workbookViewId="0">
      <selection activeCell="K56" sqref="K56"/>
    </sheetView>
  </sheetViews>
  <sheetFormatPr defaultRowHeight="15" x14ac:dyDescent="0.25"/>
  <cols>
    <col min="4" max="4" width="19.140625" bestFit="1" customWidth="1"/>
    <col min="7" max="8" width="12" bestFit="1" customWidth="1"/>
  </cols>
  <sheetData>
    <row r="1" spans="1:9" x14ac:dyDescent="0.25">
      <c r="A1" t="s">
        <v>35</v>
      </c>
      <c r="B1" t="s">
        <v>37</v>
      </c>
      <c r="C1" t="s">
        <v>38</v>
      </c>
      <c r="D1" t="s">
        <v>36</v>
      </c>
      <c r="E1" t="s">
        <v>39</v>
      </c>
      <c r="F1" t="s">
        <v>42</v>
      </c>
      <c r="G1" t="s">
        <v>41</v>
      </c>
      <c r="H1" t="s">
        <v>43</v>
      </c>
      <c r="I1" t="s">
        <v>44</v>
      </c>
    </row>
    <row r="2" spans="1:9" x14ac:dyDescent="0.25">
      <c r="A2">
        <v>0.01</v>
      </c>
      <c r="B2" cm="1">
        <f t="array" ref="B2">(1*perfweight)/(0.5*linterp(0,atmos_h,atmos_rho)*((A2*linterp(0,atmos_h,atmos_aspeed))^2)*wingarea)</f>
        <v>160.72906623687817</v>
      </c>
      <c r="C2">
        <f>0.02+(0.062*(B2^2))</f>
        <v>1601.7176294694839</v>
      </c>
      <c r="D2" cm="1">
        <f t="array" ref="D2">C2*(0.5*linterp(0,atmos_h,atmos_rho)*((A2*linterp(0,atmos_h,atmos_aspeed))^2)*wingarea)</f>
        <v>8968.793885718369</v>
      </c>
      <c r="E2">
        <f>B2/C2</f>
        <v>0.10034794103509641</v>
      </c>
      <c r="F2">
        <f>D2*1.3*1</f>
        <v>11659.43205143388</v>
      </c>
      <c r="G2">
        <f>(1/(F2/D2))*E2*LN(900/(900-370))</f>
        <v>4.0873858949392029E-2</v>
      </c>
      <c r="H2">
        <f>SQRT(B2)/C2</f>
        <v>7.9151883739938221E-3</v>
      </c>
      <c r="I2" cm="1">
        <f t="array" ref="I2">(2/(F2/D2))*SQRT(2/(linterp(0,atmos_h,atmos_rho)*wingarea))*H2*(SQRT(900)-SQRT(900-370))</f>
        <v>0.40092659172776479</v>
      </c>
    </row>
    <row r="3" spans="1:9" x14ac:dyDescent="0.25">
      <c r="A3">
        <v>0.02</v>
      </c>
      <c r="B3" cm="1">
        <f t="array" ref="B3">(1*perfweight)/(0.5*linterp(0,atmos_h,atmos_rho)*((A3*linterp(0,atmos_h,atmos_aspeed))^2)*wingarea)</f>
        <v>40.182266559219542</v>
      </c>
      <c r="C3">
        <f t="shared" ref="C3:C56" si="0">0.02+(0.062*(B3^2))</f>
        <v>100.12610184184274</v>
      </c>
      <c r="D3" cm="1">
        <f t="array" ref="D3">C3*(0.5*linterp(0,atmos_h,atmos_rho)*((A3*linterp(0,atmos_h,atmos_aspeed))^2)*wingarea)</f>
        <v>2242.6184328067116</v>
      </c>
      <c r="E3">
        <f t="shared" ref="E3:E56" si="1">B3/C3</f>
        <v>0.40131659797053393</v>
      </c>
      <c r="F3">
        <f t="shared" ref="F3:F56" si="2">D3*1.3*1</f>
        <v>2915.4039626487252</v>
      </c>
      <c r="G3">
        <f t="shared" ref="G3:G56" si="3">(1/(F3/D3))*E3*LN(900/(900-370))</f>
        <v>0.16346481901168697</v>
      </c>
      <c r="H3">
        <f t="shared" ref="H3:H56" si="4">SQRT(B3)/C3</f>
        <v>6.3309649162331144E-2</v>
      </c>
      <c r="I3" cm="1">
        <f t="array" ref="I3">(2/(F3/D3))*SQRT(2/(linterp(0,atmos_h,atmos_rho)*wingarea))*H3*(SQRT(900)-SQRT(900-370))</f>
        <v>3.2068121013431456</v>
      </c>
    </row>
    <row r="4" spans="1:9" x14ac:dyDescent="0.25">
      <c r="A4">
        <v>0.03</v>
      </c>
      <c r="B4" cm="1">
        <f t="array" ref="B4">(1*perfweight)/(0.5*linterp(0,atmos_h,atmos_rho)*((A4*linterp(0,atmos_h,atmos_aspeed))^2)*wingarea)</f>
        <v>17.858785137430907</v>
      </c>
      <c r="C4">
        <f t="shared" si="0"/>
        <v>19.79404480826523</v>
      </c>
      <c r="D4" cm="1">
        <f t="array" ref="D4">C4*(0.5*linterp(0,atmos_h,atmos_rho)*((A4*linterp(0,atmos_h,atmos_aspeed))^2)*wingarea)</f>
        <v>997.52811797373181</v>
      </c>
      <c r="E4">
        <f t="shared" si="1"/>
        <v>0.90223020663132814</v>
      </c>
      <c r="F4">
        <f t="shared" si="2"/>
        <v>1296.7865533658514</v>
      </c>
      <c r="G4">
        <f t="shared" si="3"/>
        <v>0.36749762700992428</v>
      </c>
      <c r="H4">
        <f t="shared" si="4"/>
        <v>0.21349681822659444</v>
      </c>
      <c r="I4" cm="1">
        <f t="array" ref="I4">(2/(F4/D4))*SQRT(2/(linterp(0,atmos_h,atmos_rho)*wingarea))*H4*(SQRT(900)-SQRT(900-370))</f>
        <v>10.814215358101528</v>
      </c>
    </row>
    <row r="5" spans="1:9" x14ac:dyDescent="0.25">
      <c r="A5">
        <v>0.04</v>
      </c>
      <c r="B5" cm="1">
        <f t="array" ref="B5">(1*perfweight)/(0.5*linterp(0,atmos_h,atmos_rho)*((A5*linterp(0,atmos_h,atmos_aspeed))^2)*wingarea)</f>
        <v>10.045566639804886</v>
      </c>
      <c r="C5">
        <f t="shared" si="0"/>
        <v>6.2766313651151711</v>
      </c>
      <c r="D5" cm="1">
        <f t="array" ref="D5">C5*(0.5*linterp(0,atmos_h,atmos_rho)*((A5*linterp(0,atmos_h,atmos_aspeed))^2)*wingarea)</f>
        <v>562.33445371015671</v>
      </c>
      <c r="E5">
        <f t="shared" si="1"/>
        <v>1.6004710258494776</v>
      </c>
      <c r="F5">
        <f t="shared" si="2"/>
        <v>731.03478982320371</v>
      </c>
      <c r="G5">
        <f t="shared" si="3"/>
        <v>0.65190602107402229</v>
      </c>
      <c r="H5">
        <f t="shared" si="4"/>
        <v>0.50496420857452951</v>
      </c>
      <c r="I5" cm="1">
        <f t="array" ref="I5">(2/(F5/D5))*SQRT(2/(linterp(0,atmos_h,atmos_rho)*wingarea))*H5*(SQRT(900)-SQRT(900-370))</f>
        <v>25.577859871721643</v>
      </c>
    </row>
    <row r="6" spans="1:9" x14ac:dyDescent="0.25">
      <c r="A6">
        <v>0.05</v>
      </c>
      <c r="B6" cm="1">
        <f t="array" ref="B6">(1*perfweight)/(0.5*linterp(0,atmos_h,atmos_rho)*((A6*linterp(0,atmos_h,atmos_aspeed))^2)*wingarea)</f>
        <v>6.4291626494751259</v>
      </c>
      <c r="C6">
        <f t="shared" si="0"/>
        <v>2.5827162071511731</v>
      </c>
      <c r="D6" cm="1">
        <f t="array" ref="D6">C6*(0.5*linterp(0,atmos_h,atmos_rho)*((A6*linterp(0,atmos_h,atmos_aspeed))^2)*wingarea)</f>
        <v>361.54701835484326</v>
      </c>
      <c r="E6">
        <f t="shared" si="1"/>
        <v>2.4893027858320984</v>
      </c>
      <c r="F6">
        <f t="shared" si="2"/>
        <v>470.01112386129626</v>
      </c>
      <c r="G6">
        <f t="shared" si="3"/>
        <v>1.0139461746887657</v>
      </c>
      <c r="H6">
        <f t="shared" si="4"/>
        <v>0.98174911545407217</v>
      </c>
      <c r="I6" cm="1">
        <f t="array" ref="I6">(2/(F6/D6))*SQRT(2/(linterp(0,atmos_h,atmos_rho)*wingarea))*H6*(SQRT(900)-SQRT(900-370))</f>
        <v>49.728358719041175</v>
      </c>
    </row>
    <row r="7" spans="1:9" x14ac:dyDescent="0.25">
      <c r="A7">
        <v>0.06</v>
      </c>
      <c r="B7" cm="1">
        <f t="array" ref="B7">(1*perfweight)/(0.5*linterp(0,atmos_h,atmos_rho)*((A7*linterp(0,atmos_h,atmos_aspeed))^2)*wingarea)</f>
        <v>4.4646962843577267</v>
      </c>
      <c r="C7">
        <f t="shared" si="0"/>
        <v>1.2558778005165769</v>
      </c>
      <c r="D7" cm="1">
        <f t="array" ref="D7">C7*(0.5*linterp(0,atmos_h,atmos_rho)*((A7*linterp(0,atmos_h,atmos_aspeed))^2)*wingarea)</f>
        <v>253.1616818875101</v>
      </c>
      <c r="E7">
        <f t="shared" si="1"/>
        <v>3.5550403729736084</v>
      </c>
      <c r="F7">
        <f t="shared" si="2"/>
        <v>329.11018645376316</v>
      </c>
      <c r="G7">
        <f t="shared" si="3"/>
        <v>1.4480438488867069</v>
      </c>
      <c r="H7">
        <f t="shared" si="4"/>
        <v>1.6824748334037802</v>
      </c>
      <c r="I7" cm="1">
        <f t="array" ref="I7">(2/(F7/D7))*SQRT(2/(linterp(0,atmos_h,atmos_rho)*wingarea))*H7*(SQRT(900)-SQRT(900-370))</f>
        <v>85.222090587334264</v>
      </c>
    </row>
    <row r="8" spans="1:9" x14ac:dyDescent="0.25">
      <c r="A8">
        <v>7.0000000000000007E-2</v>
      </c>
      <c r="B8" cm="1">
        <f t="array" ref="B8">(1*perfweight)/(0.5*linterp(0,atmos_h,atmos_rho)*((A8*linterp(0,atmos_h,atmos_aspeed))^2)*wingarea)</f>
        <v>3.2801850252424112</v>
      </c>
      <c r="C8">
        <f t="shared" si="0"/>
        <v>0.68709605558912268</v>
      </c>
      <c r="D8" cm="1">
        <f t="array" ref="D8">C8*(0.5*linterp(0,atmos_h,atmos_rho)*((A8*linterp(0,atmos_h,atmos_aspeed))^2)*wingarea)</f>
        <v>188.52181973622376</v>
      </c>
      <c r="E8">
        <f t="shared" si="1"/>
        <v>4.7739831986518233</v>
      </c>
      <c r="F8">
        <f t="shared" si="2"/>
        <v>245.0783656570909</v>
      </c>
      <c r="G8">
        <f t="shared" si="3"/>
        <v>1.9445452878820448</v>
      </c>
      <c r="H8">
        <f t="shared" si="4"/>
        <v>2.6359169052483504</v>
      </c>
      <c r="I8" cm="1">
        <f t="array" ref="I8">(2/(F8/D8))*SQRT(2/(linterp(0,atmos_h,atmos_rho)*wingarea))*H8*(SQRT(900)-SQRT(900-370))</f>
        <v>133.51661779409767</v>
      </c>
    </row>
    <row r="9" spans="1:9" x14ac:dyDescent="0.25">
      <c r="A9">
        <v>0.08</v>
      </c>
      <c r="B9" cm="1">
        <f t="array" ref="B9">(1*perfweight)/(0.5*linterp(0,atmos_h,atmos_rho)*((A9*linterp(0,atmos_h,atmos_aspeed))^2)*wingarea)</f>
        <v>2.5113916599512214</v>
      </c>
      <c r="C9">
        <f t="shared" si="0"/>
        <v>0.41103946031969824</v>
      </c>
      <c r="D9" cm="1">
        <f t="array" ref="D9">C9*(0.5*linterp(0,atmos_h,atmos_rho)*((A9*linterp(0,atmos_h,atmos_aspeed))^2)*wingarea)</f>
        <v>147.30299546145409</v>
      </c>
      <c r="E9">
        <f t="shared" si="1"/>
        <v>6.1098553846823158</v>
      </c>
      <c r="F9">
        <f t="shared" si="2"/>
        <v>191.49389409989033</v>
      </c>
      <c r="G9">
        <f t="shared" si="3"/>
        <v>2.4886745519506457</v>
      </c>
      <c r="H9">
        <f t="shared" si="4"/>
        <v>3.8554378542321674</v>
      </c>
      <c r="I9" cm="1">
        <f t="array" ref="I9">(2/(F9/D9))*SQRT(2/(linterp(0,atmos_h,atmos_rho)*wingarea))*H9*(SQRT(900)-SQRT(900-370))</f>
        <v>195.28878978979512</v>
      </c>
    </row>
    <row r="10" spans="1:9" x14ac:dyDescent="0.25">
      <c r="A10">
        <v>0.09</v>
      </c>
      <c r="B10" cm="1">
        <f t="array" ref="B10">(1*perfweight)/(0.5*linterp(0,atmos_h,atmos_rho)*((A10*linterp(0,atmos_h,atmos_aspeed))^2)*wingarea)</f>
        <v>1.9843094597145456</v>
      </c>
      <c r="C10">
        <f t="shared" si="0"/>
        <v>0.26412400997858321</v>
      </c>
      <c r="D10" cm="1">
        <f t="array" ref="D10">C10*(0.5*linterp(0,atmos_h,atmos_rho)*((A10*linterp(0,atmos_h,atmos_aspeed))^2)*wingarea)</f>
        <v>119.79563359785679</v>
      </c>
      <c r="E10">
        <f t="shared" si="1"/>
        <v>7.5127946901739282</v>
      </c>
      <c r="F10">
        <f t="shared" si="2"/>
        <v>155.73432367721384</v>
      </c>
      <c r="G10">
        <f t="shared" si="3"/>
        <v>3.0601216857504951</v>
      </c>
      <c r="H10">
        <f t="shared" si="4"/>
        <v>5.3333098932605374</v>
      </c>
      <c r="I10" cm="1">
        <f t="array" ref="I10">(2/(F10/D10))*SQRT(2/(linterp(0,atmos_h,atmos_rho)*wingarea))*H10*(SQRT(900)-SQRT(900-370))</f>
        <v>270.14717238548758</v>
      </c>
    </row>
    <row r="11" spans="1:9" x14ac:dyDescent="0.25">
      <c r="A11">
        <v>0.1</v>
      </c>
      <c r="B11" cm="1">
        <f t="array" ref="B11">(1*perfweight)/(0.5*linterp(0,atmos_h,atmos_rho)*((A11*linterp(0,atmos_h,atmos_aspeed))^2)*wingarea)</f>
        <v>1.6072906623687815</v>
      </c>
      <c r="C11">
        <f t="shared" si="0"/>
        <v>0.18016976294694831</v>
      </c>
      <c r="D11" cm="1">
        <f t="array" ref="D11">C11*(0.5*linterp(0,atmos_h,atmos_rho)*((A11*linterp(0,atmos_h,atmos_aspeed))^2)*wingarea)</f>
        <v>100.88578901670286</v>
      </c>
      <c r="E11">
        <f t="shared" si="1"/>
        <v>8.9209789482936408</v>
      </c>
      <c r="F11">
        <f t="shared" si="2"/>
        <v>131.15152572171371</v>
      </c>
      <c r="G11">
        <f t="shared" si="3"/>
        <v>3.6337052007426833</v>
      </c>
      <c r="H11">
        <f t="shared" si="4"/>
        <v>7.0366395292038311</v>
      </c>
      <c r="I11" cm="1">
        <f t="array" ref="I11">(2/(F11/D11))*SQRT(2/(linterp(0,atmos_h,atmos_rho)*wingarea))*H11*(SQRT(900)-SQRT(900-370))</f>
        <v>356.42561747864693</v>
      </c>
    </row>
    <row r="12" spans="1:9" x14ac:dyDescent="0.25">
      <c r="A12">
        <v>0.11</v>
      </c>
      <c r="B12" cm="1">
        <f t="array" ref="B12">(1*perfweight)/(0.5*linterp(0,atmos_h,atmos_rho)*((A12*linterp(0,atmos_h,atmos_aspeed))^2)*wingarea)</f>
        <v>1.3283393903874228</v>
      </c>
      <c r="C12">
        <f t="shared" si="0"/>
        <v>0.12939810323539946</v>
      </c>
      <c r="D12" cm="1">
        <f t="array" ref="D12">C12*(0.5*linterp(0,atmos_h,atmos_rho)*((A12*linterp(0,atmos_h,atmos_aspeed))^2)*wingarea)</f>
        <v>87.672091752013287</v>
      </c>
      <c r="E12">
        <f t="shared" si="1"/>
        <v>10.265524433313553</v>
      </c>
      <c r="F12">
        <f t="shared" si="2"/>
        <v>113.97371927761728</v>
      </c>
      <c r="G12">
        <f t="shared" si="3"/>
        <v>4.1813672846764716</v>
      </c>
      <c r="H12">
        <f t="shared" si="4"/>
        <v>8.9069007983934849</v>
      </c>
      <c r="I12" cm="1">
        <f t="array" ref="I12">(2/(F12/D12))*SQRT(2/(linterp(0,atmos_h,atmos_rho)*wingarea))*H12*(SQRT(900)-SQRT(900-370))</f>
        <v>451.15962011594621</v>
      </c>
    </row>
    <row r="13" spans="1:9" x14ac:dyDescent="0.25">
      <c r="A13">
        <v>0.12</v>
      </c>
      <c r="B13" cm="1">
        <f t="array" ref="B13">(1*perfweight)/(0.5*linterp(0,atmos_h,atmos_rho)*((A13*linterp(0,atmos_h,atmos_aspeed))^2)*wingarea)</f>
        <v>1.1161740710894317</v>
      </c>
      <c r="C13">
        <f t="shared" si="0"/>
        <v>9.7242362532286061E-2</v>
      </c>
      <c r="D13" cm="1">
        <f t="array" ref="D13">C13*(0.5*linterp(0,atmos_h,atmos_rho)*((A13*linterp(0,atmos_h,atmos_aspeed))^2)*wingarea)</f>
        <v>78.409030048186096</v>
      </c>
      <c r="E13">
        <f t="shared" si="1"/>
        <v>11.478269778964323</v>
      </c>
      <c r="F13">
        <f t="shared" si="2"/>
        <v>101.93173906264192</v>
      </c>
      <c r="G13">
        <f t="shared" si="3"/>
        <v>4.675344357731956</v>
      </c>
      <c r="H13">
        <f t="shared" si="4"/>
        <v>10.864517984628812</v>
      </c>
      <c r="I13" cm="1">
        <f t="array" ref="I13">(2/(F13/D13))*SQRT(2/(linterp(0,atmos_h,atmos_rho)*wingarea))*H13*(SQRT(900)-SQRT(900-370))</f>
        <v>550.31844607184746</v>
      </c>
    </row>
    <row r="14" spans="1:9" x14ac:dyDescent="0.25">
      <c r="A14">
        <v>0.13</v>
      </c>
      <c r="B14" cm="1">
        <f t="array" ref="B14">(1*perfweight)/(0.5*linterp(0,atmos_h,atmos_rho)*((A14*linterp(0,atmos_h,atmos_aspeed))^2)*wingarea)</f>
        <v>0.9510595635318233</v>
      </c>
      <c r="C14">
        <f t="shared" si="0"/>
        <v>7.6079886189891227E-2</v>
      </c>
      <c r="D14" cm="1">
        <f t="array" ref="D14">C14*(0.5*linterp(0,atmos_h,atmos_rho)*((A14*linterp(0,atmos_h,atmos_aspeed))^2)*wingarea)</f>
        <v>71.995383040602775</v>
      </c>
      <c r="E14">
        <f t="shared" si="1"/>
        <v>12.500801606853495</v>
      </c>
      <c r="F14">
        <f t="shared" si="2"/>
        <v>93.59399795278361</v>
      </c>
      <c r="G14">
        <f t="shared" si="3"/>
        <v>5.0918434036843623</v>
      </c>
      <c r="H14">
        <f t="shared" si="4"/>
        <v>12.818405448142988</v>
      </c>
      <c r="I14" cm="1">
        <f t="array" ref="I14">(2/(F14/D14))*SQRT(2/(linterp(0,atmos_h,atmos_rho)*wingarea))*H14*(SQRT(900)-SQRT(900-370))</f>
        <v>649.28835106364477</v>
      </c>
    </row>
    <row r="15" spans="1:9" x14ac:dyDescent="0.25">
      <c r="A15">
        <v>0.14000000000000001</v>
      </c>
      <c r="B15" cm="1">
        <f t="array" ref="B15">(1*perfweight)/(0.5*linterp(0,atmos_h,atmos_rho)*((A15*linterp(0,atmos_h,atmos_aspeed))^2)*wingarea)</f>
        <v>0.82004625631060279</v>
      </c>
      <c r="C15">
        <f t="shared" si="0"/>
        <v>6.1693503474320163E-2</v>
      </c>
      <c r="D15" cm="1">
        <f t="array" ref="D15">C15*(0.5*linterp(0,atmos_h,atmos_rho)*((A15*linterp(0,atmos_h,atmos_aspeed))^2)*wingarea)</f>
        <v>67.708562412920372</v>
      </c>
      <c r="E15">
        <f t="shared" si="1"/>
        <v>13.29226272020596</v>
      </c>
      <c r="F15">
        <f t="shared" si="2"/>
        <v>88.021131136796484</v>
      </c>
      <c r="G15">
        <f t="shared" si="3"/>
        <v>5.4142224139301538</v>
      </c>
      <c r="H15">
        <f t="shared" si="4"/>
        <v>14.678434571402713</v>
      </c>
      <c r="I15" cm="1">
        <f t="array" ref="I15">(2/(F15/D15))*SQRT(2/(linterp(0,atmos_h,atmos_rho)*wingarea))*H15*(SQRT(900)-SQRT(900-370))</f>
        <v>743.5040666811143</v>
      </c>
    </row>
    <row r="16" spans="1:9" x14ac:dyDescent="0.25">
      <c r="A16">
        <v>0.15</v>
      </c>
      <c r="B16" cm="1">
        <f t="array" ref="B16">(1*perfweight)/(0.5*linterp(0,atmos_h,atmos_rho)*((A16*linterp(0,atmos_h,atmos_aspeed))^2)*wingarea)</f>
        <v>0.71435140549723641</v>
      </c>
      <c r="C16">
        <f t="shared" si="0"/>
        <v>5.1638471693224386E-2</v>
      </c>
      <c r="D16" cm="1">
        <f t="array" ref="D16">C16*(0.5*linterp(0,atmos_h,atmos_rho)*((A16*linterp(0,atmos_h,atmos_aspeed))^2)*wingarea)</f>
        <v>65.058491053926744</v>
      </c>
      <c r="E16">
        <f t="shared" si="1"/>
        <v>13.83370541523924</v>
      </c>
      <c r="F16">
        <f t="shared" si="2"/>
        <v>84.576038370104769</v>
      </c>
      <c r="G16">
        <f t="shared" si="3"/>
        <v>5.6347635841593346</v>
      </c>
      <c r="H16">
        <f t="shared" si="4"/>
        <v>16.367508362776615</v>
      </c>
      <c r="I16" cm="1">
        <f t="array" ref="I16">(2/(F16/D16))*SQRT(2/(linterp(0,atmos_h,atmos_rho)*wingarea))*H16*(SQRT(900)-SQRT(900-370))</f>
        <v>829.06041308181727</v>
      </c>
    </row>
    <row r="17" spans="1:9" x14ac:dyDescent="0.25">
      <c r="A17">
        <v>0.16</v>
      </c>
      <c r="B17" cm="1">
        <f t="array" ref="B17">(1*perfweight)/(0.5*linterp(0,atmos_h,atmos_rho)*((A17*linterp(0,atmos_h,atmos_aspeed))^2)*wingarea)</f>
        <v>0.62784791498780534</v>
      </c>
      <c r="C17">
        <f t="shared" si="0"/>
        <v>4.4439966269981139E-2</v>
      </c>
      <c r="D17" cm="1">
        <f t="array" ref="D17">C17*(0.5*linterp(0,atmos_h,atmos_rho)*((A17*linterp(0,atmos_h,atmos_aspeed))^2)*wingarea)</f>
        <v>63.703277001023196</v>
      </c>
      <c r="E17">
        <f t="shared" si="1"/>
        <v>14.128001609486185</v>
      </c>
      <c r="F17">
        <f t="shared" si="2"/>
        <v>82.814260101330163</v>
      </c>
      <c r="G17">
        <f t="shared" si="3"/>
        <v>5.7546367077024021</v>
      </c>
      <c r="H17">
        <f t="shared" si="4"/>
        <v>17.830088858215486</v>
      </c>
      <c r="I17" cm="1">
        <f t="array" ref="I17">(2/(F17/D17))*SQRT(2/(linterp(0,atmos_h,atmos_rho)*wingarea))*H17*(SQRT(900)-SQRT(900-370))</f>
        <v>903.14423591166303</v>
      </c>
    </row>
    <row r="18" spans="1:9" x14ac:dyDescent="0.25">
      <c r="A18">
        <v>0.17</v>
      </c>
      <c r="B18" cm="1">
        <f t="array" ref="B18">(1*perfweight)/(0.5*linterp(0,atmos_h,atmos_rho)*((A18*linterp(0,atmos_h,atmos_aspeed))^2)*wingarea)</f>
        <v>0.55615593853591072</v>
      </c>
      <c r="C18">
        <f t="shared" si="0"/>
        <v>3.9177184534063103E-2</v>
      </c>
      <c r="D18" cm="1">
        <f t="array" ref="D18">C18*(0.5*linterp(0,atmos_h,atmos_rho)*((A18*linterp(0,atmos_h,atmos_aspeed))^2)*wingarea)</f>
        <v>63.398524833660673</v>
      </c>
      <c r="E18">
        <f t="shared" si="1"/>
        <v>14.195913901172604</v>
      </c>
      <c r="F18">
        <f t="shared" si="2"/>
        <v>82.418082283758878</v>
      </c>
      <c r="G18">
        <f t="shared" si="3"/>
        <v>5.782298834126598</v>
      </c>
      <c r="H18">
        <f t="shared" si="4"/>
        <v>19.035534119241753</v>
      </c>
      <c r="I18" cm="1">
        <f t="array" ref="I18">(2/(F18/D18))*SQRT(2/(linterp(0,atmos_h,atmos_rho)*wingarea))*H18*(SQRT(900)-SQRT(900-370))</f>
        <v>964.20343465487463</v>
      </c>
    </row>
    <row r="19" spans="1:9" x14ac:dyDescent="0.25">
      <c r="A19">
        <v>0.18</v>
      </c>
      <c r="B19" cm="1">
        <f t="array" ref="B19">(1*perfweight)/(0.5*linterp(0,atmos_h,atmos_rho)*((A19*linterp(0,atmos_h,atmos_aspeed))^2)*wingarea)</f>
        <v>0.49607736492863641</v>
      </c>
      <c r="C19">
        <f t="shared" si="0"/>
        <v>3.5257750623661446E-2</v>
      </c>
      <c r="D19" cm="1">
        <f t="array" ref="D19">C19*(0.5*linterp(0,atmos_h,atmos_rho)*((A19*linterp(0,atmos_h,atmos_aspeed))^2)*wingarea)</f>
        <v>63.965779946158456</v>
      </c>
      <c r="E19">
        <f t="shared" si="1"/>
        <v>14.07002307730089</v>
      </c>
      <c r="F19">
        <f t="shared" si="2"/>
        <v>83.155513930005995</v>
      </c>
      <c r="G19">
        <f t="shared" si="3"/>
        <v>5.731020813622365</v>
      </c>
      <c r="H19">
        <f t="shared" si="4"/>
        <v>19.976532401376105</v>
      </c>
      <c r="I19" cm="1">
        <f t="array" ref="I19">(2/(F19/D19))*SQRT(2/(linterp(0,atmos_h,atmos_rho)*wingarea))*H19*(SQRT(900)-SQRT(900-370))</f>
        <v>1011.8676488531585</v>
      </c>
    </row>
    <row r="20" spans="1:9" x14ac:dyDescent="0.25">
      <c r="A20">
        <v>0.19</v>
      </c>
      <c r="B20" cm="1">
        <f t="array" ref="B20">(1*perfweight)/(0.5*linterp(0,atmos_h,atmos_rho)*((A20*linterp(0,atmos_h,atmos_aspeed))^2)*wingarea)</f>
        <v>0.44523287046226628</v>
      </c>
      <c r="C20">
        <f t="shared" si="0"/>
        <v>3.2290403154284289E-2</v>
      </c>
      <c r="D20" cm="1">
        <f t="array" ref="D20">C20*(0.5*linterp(0,atmos_h,atmos_rho)*((A20*linterp(0,atmos_h,atmos_aspeed))^2)*wingarea)</f>
        <v>65.27227607584922</v>
      </c>
      <c r="E20">
        <f t="shared" si="1"/>
        <v>13.788396147763574</v>
      </c>
      <c r="F20">
        <f t="shared" si="2"/>
        <v>84.853958898603992</v>
      </c>
      <c r="G20">
        <f t="shared" si="3"/>
        <v>5.6163081521016611</v>
      </c>
      <c r="H20">
        <f t="shared" si="4"/>
        <v>20.664273560789333</v>
      </c>
      <c r="I20" cm="1">
        <f t="array" ref="I20">(2/(F20/D20))*SQRT(2/(linterp(0,atmos_h,atmos_rho)*wingarea))*H20*(SQRT(900)-SQRT(900-370))</f>
        <v>1046.7036762483369</v>
      </c>
    </row>
    <row r="21" spans="1:9" x14ac:dyDescent="0.25">
      <c r="A21">
        <v>0.2</v>
      </c>
      <c r="B21" cm="1">
        <f t="array" ref="B21">(1*perfweight)/(0.5*linterp(0,atmos_h,atmos_rho)*((A21*linterp(0,atmos_h,atmos_aspeed))^2)*wingarea)</f>
        <v>0.40182266559219537</v>
      </c>
      <c r="C21">
        <f t="shared" si="0"/>
        <v>3.0010610184184272E-2</v>
      </c>
      <c r="D21" cm="1">
        <f t="array" ref="D21">C21*(0.5*linterp(0,atmos_h,atmos_rho)*((A21*linterp(0,atmos_h,atmos_aspeed))^2)*wingarea)</f>
        <v>67.217584966143974</v>
      </c>
      <c r="E21">
        <f t="shared" si="1"/>
        <v>13.389353402882749</v>
      </c>
      <c r="F21">
        <f t="shared" si="2"/>
        <v>87.382860455987171</v>
      </c>
      <c r="G21">
        <f t="shared" si="3"/>
        <v>5.4537695220032862</v>
      </c>
      <c r="H21">
        <f t="shared" si="4"/>
        <v>21.122357528536877</v>
      </c>
      <c r="I21" cm="1">
        <f t="array" ref="I21">(2/(F21/D21))*SQRT(2/(linterp(0,atmos_h,atmos_rho)*wingarea))*H21*(SQRT(900)-SQRT(900-370))</f>
        <v>1069.9069198398074</v>
      </c>
    </row>
    <row r="22" spans="1:9" x14ac:dyDescent="0.25">
      <c r="A22">
        <v>0.21</v>
      </c>
      <c r="B22" cm="1">
        <f t="array" ref="B22">(1*perfweight)/(0.5*linterp(0,atmos_h,atmos_rho)*((A22*linterp(0,atmos_h,atmos_aspeed))^2)*wingarea)</f>
        <v>0.36446500280471239</v>
      </c>
      <c r="C22">
        <f t="shared" si="0"/>
        <v>2.8235753772705218E-2</v>
      </c>
      <c r="D22" cm="1">
        <f t="array" ref="D22">C22*(0.5*linterp(0,atmos_h,atmos_rho)*((A22*linterp(0,atmos_h,atmos_aspeed))^2)*wingarea)</f>
        <v>69.724605105777599</v>
      </c>
      <c r="E22">
        <f t="shared" si="1"/>
        <v>12.907925382074673</v>
      </c>
      <c r="F22">
        <f t="shared" si="2"/>
        <v>90.641986637510882</v>
      </c>
      <c r="G22">
        <f t="shared" si="3"/>
        <v>5.2576736099814143</v>
      </c>
      <c r="H22">
        <f t="shared" si="4"/>
        <v>21.38102543128139</v>
      </c>
      <c r="I22" cm="1">
        <f t="array" ref="I22">(2/(F22/D22))*SQRT(2/(linterp(0,atmos_h,atmos_rho)*wingarea))*H22*(SQRT(900)-SQRT(900-370))</f>
        <v>1083.0091778956569</v>
      </c>
    </row>
    <row r="23" spans="1:9" x14ac:dyDescent="0.25">
      <c r="A23">
        <v>0.22</v>
      </c>
      <c r="B23" cm="1">
        <f t="array" ref="B23">(1*perfweight)/(0.5*linterp(0,atmos_h,atmos_rho)*((A23*linterp(0,atmos_h,atmos_aspeed))^2)*wingarea)</f>
        <v>0.33208484759685569</v>
      </c>
      <c r="C23">
        <f t="shared" si="0"/>
        <v>2.6837381452212466E-2</v>
      </c>
      <c r="D23" cm="1">
        <f t="array" ref="D23">C23*(0.5*linterp(0,atmos_h,atmos_rho)*((A23*linterp(0,atmos_h,atmos_aspeed))^2)*wingarea)</f>
        <v>72.733349569484886</v>
      </c>
      <c r="E23">
        <f t="shared" si="1"/>
        <v>12.373966073708681</v>
      </c>
      <c r="F23">
        <f t="shared" si="2"/>
        <v>94.553354440330352</v>
      </c>
      <c r="G23">
        <f t="shared" si="3"/>
        <v>5.0401805829223614</v>
      </c>
      <c r="H23">
        <f t="shared" si="4"/>
        <v>21.47258798460323</v>
      </c>
      <c r="I23" cm="1">
        <f t="array" ref="I23">(2/(F23/D23))*SQRT(2/(linterp(0,atmos_h,atmos_rho)*wingarea))*H23*(SQRT(900)-SQRT(900-370))</f>
        <v>1087.6470791936008</v>
      </c>
    </row>
    <row r="24" spans="1:9" x14ac:dyDescent="0.25">
      <c r="A24">
        <v>0.23</v>
      </c>
      <c r="B24" cm="1">
        <f t="array" ref="B24">(1*perfweight)/(0.5*linterp(0,atmos_h,atmos_rho)*((A24*linterp(0,atmos_h,atmos_aspeed))^2)*wingarea)</f>
        <v>0.30383566396385286</v>
      </c>
      <c r="C24">
        <f t="shared" si="0"/>
        <v>2.5723598863174029E-2</v>
      </c>
      <c r="D24" cm="1">
        <f t="array" ref="D24">C24*(0.5*linterp(0,atmos_h,atmos_rho)*((A24*linterp(0,atmos_h,atmos_aspeed))^2)*wingarea)</f>
        <v>76.196581648199512</v>
      </c>
      <c r="E24">
        <f t="shared" si="1"/>
        <v>11.811553491406087</v>
      </c>
      <c r="F24">
        <f t="shared" si="2"/>
        <v>99.05555614265937</v>
      </c>
      <c r="G24">
        <f t="shared" si="3"/>
        <v>4.8110979298726138</v>
      </c>
      <c r="H24">
        <f t="shared" si="4"/>
        <v>21.428296464494139</v>
      </c>
      <c r="I24" cm="1">
        <f t="array" ref="I24">(2/(F24/D24))*SQRT(2/(linterp(0,atmos_h,atmos_rho)*wingarea))*H24*(SQRT(900)-SQRT(900-370))</f>
        <v>1085.4035889112818</v>
      </c>
    </row>
    <row r="25" spans="1:9" x14ac:dyDescent="0.25">
      <c r="A25">
        <v>0.24</v>
      </c>
      <c r="B25" cm="1">
        <f t="array" ref="B25">(1*perfweight)/(0.5*linterp(0,atmos_h,atmos_rho)*((A25*linterp(0,atmos_h,atmos_aspeed))^2)*wingarea)</f>
        <v>0.27904351777235792</v>
      </c>
      <c r="C25">
        <f t="shared" si="0"/>
        <v>2.4827647658267879E-2</v>
      </c>
      <c r="D25" cm="1">
        <f t="array" ref="D25">C25*(0.5*linterp(0,atmos_h,atmos_rho)*((A25*linterp(0,atmos_h,atmos_aspeed))^2)*wingarea)</f>
        <v>80.076695817280779</v>
      </c>
      <c r="E25">
        <f t="shared" si="1"/>
        <v>11.2392249806813</v>
      </c>
      <c r="F25">
        <f t="shared" si="2"/>
        <v>104.09970456246502</v>
      </c>
      <c r="G25">
        <f t="shared" si="3"/>
        <v>4.5779763074578703</v>
      </c>
      <c r="H25">
        <f t="shared" si="4"/>
        <v>21.276510186175322</v>
      </c>
      <c r="I25" cm="1">
        <f t="array" ref="I25">(2/(F25/D25))*SQRT(2/(linterp(0,atmos_h,atmos_rho)*wingarea))*H25*(SQRT(900)-SQRT(900-370))</f>
        <v>1077.7151862653825</v>
      </c>
    </row>
    <row r="26" spans="1:9" x14ac:dyDescent="0.25">
      <c r="A26">
        <v>0.25</v>
      </c>
      <c r="B26" cm="1">
        <f t="array" ref="B26">(1*perfweight)/(0.5*linterp(0,atmos_h,atmos_rho)*((A26*linterp(0,atmos_h,atmos_aspeed))^2)*wingarea)</f>
        <v>0.25716650597900509</v>
      </c>
      <c r="C26">
        <f t="shared" si="0"/>
        <v>2.4100345931441877E-2</v>
      </c>
      <c r="D26" cm="1">
        <f t="array" ref="D26">C26*(0.5*linterp(0,atmos_h,atmos_rho)*((A26*linterp(0,atmos_h,atmos_aspeed))^2)*wingarea)</f>
        <v>84.343453886908875</v>
      </c>
      <c r="E26">
        <f t="shared" si="1"/>
        <v>10.670656210104422</v>
      </c>
      <c r="F26">
        <f t="shared" si="2"/>
        <v>109.64649005298155</v>
      </c>
      <c r="G26">
        <f t="shared" si="3"/>
        <v>4.3463861074809671</v>
      </c>
      <c r="H26">
        <f t="shared" si="4"/>
        <v>21.041850262668508</v>
      </c>
      <c r="I26" cm="1">
        <f t="array" ref="I26">(2/(F26/D26))*SQRT(2/(linterp(0,atmos_h,atmos_rho)*wingarea))*H26*(SQRT(900)-SQRT(900-370))</f>
        <v>1065.8289999990141</v>
      </c>
    </row>
    <row r="27" spans="1:9" x14ac:dyDescent="0.25">
      <c r="A27">
        <v>0.26</v>
      </c>
      <c r="B27" cm="1">
        <f t="array" ref="B27">(1*perfweight)/(0.5*linterp(0,atmos_h,atmos_rho)*((A27*linterp(0,atmos_h,atmos_aspeed))^2)*wingarea)</f>
        <v>0.23776489088295583</v>
      </c>
      <c r="C27">
        <f t="shared" si="0"/>
        <v>2.3504992886868203E-2</v>
      </c>
      <c r="D27" cm="1">
        <f t="array" ref="D27">C27*(0.5*linterp(0,atmos_h,atmos_rho)*((A27*linterp(0,atmos_h,atmos_aspeed))^2)*wingarea)</f>
        <v>88.972318493377031</v>
      </c>
      <c r="E27">
        <f t="shared" si="1"/>
        <v>10.115505757748627</v>
      </c>
      <c r="F27">
        <f t="shared" si="2"/>
        <v>115.66401404139015</v>
      </c>
      <c r="G27">
        <f t="shared" si="3"/>
        <v>4.1202614750149573</v>
      </c>
      <c r="H27">
        <f t="shared" si="4"/>
        <v>20.745014310883686</v>
      </c>
      <c r="I27" cm="1">
        <f t="array" ref="I27">(2/(F27/D27))*SQRT(2/(linterp(0,atmos_h,atmos_rho)*wingarea))*H27*(SQRT(900)-SQRT(900-370))</f>
        <v>1050.7934227230046</v>
      </c>
    </row>
    <row r="28" spans="1:9" x14ac:dyDescent="0.25">
      <c r="A28">
        <v>0.27</v>
      </c>
      <c r="B28" cm="1">
        <f t="array" ref="B28">(1*perfweight)/(0.5*linterp(0,atmos_h,atmos_rho)*((A28*linterp(0,atmos_h,atmos_aspeed))^2)*wingarea)</f>
        <v>0.22047882885717168</v>
      </c>
      <c r="C28">
        <f t="shared" si="0"/>
        <v>2.3013876666402262E-2</v>
      </c>
      <c r="D28" cm="1">
        <f t="array" ref="D28">C28*(0.5*linterp(0,atmos_h,atmos_rho)*((A28*linterp(0,atmos_h,atmos_aspeed))^2)*wingarea)</f>
        <v>93.943210362296455</v>
      </c>
      <c r="E28">
        <f t="shared" si="1"/>
        <v>9.5802559496221953</v>
      </c>
      <c r="F28">
        <f t="shared" si="2"/>
        <v>122.12617347098539</v>
      </c>
      <c r="G28">
        <f t="shared" si="3"/>
        <v>3.9022427998495424</v>
      </c>
      <c r="H28">
        <f t="shared" si="4"/>
        <v>20.402982888477666</v>
      </c>
      <c r="I28" cm="1">
        <f t="array" ref="I28">(2/(F28/D28))*SQRT(2/(linterp(0,atmos_h,atmos_rho)*wingarea))*H28*(SQRT(900)-SQRT(900-370))</f>
        <v>1033.4685675244095</v>
      </c>
    </row>
    <row r="29" spans="1:9" x14ac:dyDescent="0.25">
      <c r="A29">
        <v>0.28000000000000003</v>
      </c>
      <c r="B29" cm="1">
        <f t="array" ref="B29">(1*perfweight)/(0.5*linterp(0,atmos_h,atmos_rho)*((A29*linterp(0,atmos_h,atmos_aspeed))^2)*wingarea)</f>
        <v>0.2050115640776507</v>
      </c>
      <c r="C29">
        <f t="shared" si="0"/>
        <v>2.260584396714501E-2</v>
      </c>
      <c r="D29" cm="1">
        <f t="array" ref="D29">C29*(0.5*linterp(0,atmos_h,atmos_rho)*((A29*linterp(0,atmos_h,atmos_aspeed))^2)*wingarea)</f>
        <v>99.239570518687856</v>
      </c>
      <c r="E29">
        <f t="shared" si="1"/>
        <v>9.0689630688246545</v>
      </c>
      <c r="F29">
        <f t="shared" si="2"/>
        <v>129.01144167429422</v>
      </c>
      <c r="G29">
        <f t="shared" si="3"/>
        <v>3.693982292698351</v>
      </c>
      <c r="H29">
        <f t="shared" si="4"/>
        <v>20.029423708854832</v>
      </c>
      <c r="I29" cm="1">
        <f t="array" ref="I29">(2/(F29/D29))*SQRT(2/(linterp(0,atmos_h,atmos_rho)*wingarea))*H29*(SQRT(900)-SQRT(900-370))</f>
        <v>1014.5467425951525</v>
      </c>
    </row>
    <row r="30" spans="1:9" x14ac:dyDescent="0.25">
      <c r="A30">
        <v>0.28999999999999998</v>
      </c>
      <c r="B30" cm="1">
        <f t="array" ref="B30">(1*perfweight)/(0.5*linterp(0,atmos_h,atmos_rho)*((A30*linterp(0,atmos_h,atmos_aspeed))^2)*wingarea)</f>
        <v>0.19111660670259001</v>
      </c>
      <c r="C30">
        <f t="shared" si="0"/>
        <v>2.2264584556165774E-2</v>
      </c>
      <c r="D30" cm="1">
        <f t="array" ref="D30">C30*(0.5*linterp(0,atmos_h,atmos_rho)*((A30*linterp(0,atmos_h,atmos_aspeed))^2)*wingarea)</f>
        <v>104.84764482937861</v>
      </c>
      <c r="E30">
        <f t="shared" si="1"/>
        <v>8.5838838007720071</v>
      </c>
      <c r="F30">
        <f t="shared" si="2"/>
        <v>136.30193827819221</v>
      </c>
      <c r="G30">
        <f t="shared" si="3"/>
        <v>3.4963991497146418</v>
      </c>
      <c r="H30">
        <f t="shared" si="4"/>
        <v>19.63516780035204</v>
      </c>
      <c r="I30" cm="1">
        <f t="array" ref="I30">(2/(F30/D30))*SQRT(2/(linterp(0,atmos_h,atmos_rho)*wingarea))*H30*(SQRT(900)-SQRT(900-370))</f>
        <v>994.57657003629004</v>
      </c>
    </row>
    <row r="31" spans="1:9" x14ac:dyDescent="0.25">
      <c r="A31">
        <v>0.3</v>
      </c>
      <c r="B31" cm="1">
        <f t="array" ref="B31">(1*perfweight)/(0.5*linterp(0,atmos_h,atmos_rho)*((A31*linterp(0,atmos_h,atmos_aspeed))^2)*wingarea)</f>
        <v>0.1785878513743091</v>
      </c>
      <c r="C31">
        <f t="shared" si="0"/>
        <v>2.1977404480826523E-2</v>
      </c>
      <c r="D31" cm="1">
        <f t="array" ref="D31">C31*(0.5*linterp(0,atmos_h,atmos_rho)*((A31*linterp(0,atmos_h,atmos_aspeed))^2)*wingarea)</f>
        <v>110.7559326154102</v>
      </c>
      <c r="E31">
        <f t="shared" si="1"/>
        <v>8.1259755459345673</v>
      </c>
      <c r="F31">
        <f t="shared" si="2"/>
        <v>143.98271240003328</v>
      </c>
      <c r="G31">
        <f t="shared" si="3"/>
        <v>3.3098833405517842</v>
      </c>
      <c r="H31">
        <f t="shared" si="4"/>
        <v>19.228683669566507</v>
      </c>
      <c r="I31" cm="1">
        <f t="array" ref="I31">(2/(F31/D31))*SQRT(2/(linterp(0,atmos_h,atmos_rho)*wingarea))*H31*(SQRT(900)-SQRT(900-370))</f>
        <v>973.98700356649863</v>
      </c>
    </row>
    <row r="32" spans="1:9" x14ac:dyDescent="0.25">
      <c r="A32">
        <v>0.31</v>
      </c>
      <c r="B32" cm="1">
        <f t="array" ref="B32">(1*perfweight)/(0.5*linterp(0,atmos_h,atmos_rho)*((A32*linterp(0,atmos_h,atmos_aspeed))^2)*wingarea)</f>
        <v>0.16725188994472234</v>
      </c>
      <c r="C32">
        <f t="shared" si="0"/>
        <v>2.1734338070785054E-2</v>
      </c>
      <c r="D32" cm="1">
        <f t="array" ref="D32">C32*(0.5*linterp(0,atmos_h,atmos_rho)*((A32*linterp(0,atmos_h,atmos_aspeed))^2)*wingarea)</f>
        <v>116.95475770211944</v>
      </c>
      <c r="E32">
        <f t="shared" si="1"/>
        <v>7.695283353006257</v>
      </c>
      <c r="F32">
        <f t="shared" si="2"/>
        <v>152.04118501275528</v>
      </c>
      <c r="G32">
        <f t="shared" si="3"/>
        <v>3.1344532145046631</v>
      </c>
      <c r="H32">
        <f t="shared" si="4"/>
        <v>18.816511009219521</v>
      </c>
      <c r="I32" cm="1">
        <f t="array" ref="I32">(2/(F32/D32))*SQRT(2/(linterp(0,atmos_h,atmos_rho)*wingarea))*H32*(SQRT(900)-SQRT(900-370))</f>
        <v>953.10929704731689</v>
      </c>
    </row>
    <row r="33" spans="1:9" x14ac:dyDescent="0.25">
      <c r="A33">
        <v>0.32</v>
      </c>
      <c r="B33" cm="1">
        <f t="array" ref="B33">(1*perfweight)/(0.5*linterp(0,atmos_h,atmos_rho)*((A33*linterp(0,atmos_h,atmos_aspeed))^2)*wingarea)</f>
        <v>0.15696197874695134</v>
      </c>
      <c r="C33">
        <f t="shared" si="0"/>
        <v>2.1527497891873821E-2</v>
      </c>
      <c r="D33" cm="1">
        <f t="array" ref="D33">C33*(0.5*linterp(0,atmos_h,atmos_rho)*((A33*linterp(0,atmos_h,atmos_aspeed))^2)*wingarea)</f>
        <v>123.43593179289449</v>
      </c>
      <c r="E33">
        <f t="shared" si="1"/>
        <v>7.2912318716891473</v>
      </c>
      <c r="F33">
        <f t="shared" si="2"/>
        <v>160.46671133076285</v>
      </c>
      <c r="G33">
        <f t="shared" si="3"/>
        <v>2.9698744191124153</v>
      </c>
      <c r="H33">
        <f t="shared" si="4"/>
        <v>18.403637789902309</v>
      </c>
      <c r="I33" cm="1">
        <f t="array" ref="I33">(2/(F33/D33))*SQRT(2/(linterp(0,atmos_h,atmos_rho)*wingarea))*H33*(SQRT(900)-SQRT(900-370))</f>
        <v>932.19610524250868</v>
      </c>
    </row>
    <row r="34" spans="1:9" x14ac:dyDescent="0.25">
      <c r="A34">
        <v>0.33</v>
      </c>
      <c r="B34" cm="1">
        <f t="array" ref="B34">(1*perfweight)/(0.5*linterp(0,atmos_h,atmos_rho)*((A34*linterp(0,atmos_h,atmos_aspeed))^2)*wingarea)</f>
        <v>0.14759326559860253</v>
      </c>
      <c r="C34">
        <f t="shared" si="0"/>
        <v>2.1350593867103699E-2</v>
      </c>
      <c r="D34" cm="1">
        <f t="array" ref="D34">C34*(0.5*linterp(0,atmos_h,atmos_rho)*((A34*linterp(0,atmos_h,atmos_aspeed))^2)*wingarea)</f>
        <v>130.1924881359578</v>
      </c>
      <c r="E34">
        <f t="shared" si="1"/>
        <v>6.9128412313630978</v>
      </c>
      <c r="F34">
        <f t="shared" si="2"/>
        <v>169.25023457674516</v>
      </c>
      <c r="G34">
        <f t="shared" si="3"/>
        <v>2.815747832149881</v>
      </c>
      <c r="H34">
        <f t="shared" si="4"/>
        <v>17.993817505216601</v>
      </c>
      <c r="I34" cm="1">
        <f t="array" ref="I34">(2/(F34/D34))*SQRT(2/(linterp(0,atmos_h,atmos_rho)*wingarea))*H34*(SQRT(900)-SQRT(900-370))</f>
        <v>911.43755317825298</v>
      </c>
    </row>
    <row r="35" spans="1:9" x14ac:dyDescent="0.25">
      <c r="A35">
        <v>0.34</v>
      </c>
      <c r="B35" cm="1">
        <f t="array" ref="B35">(1*perfweight)/(0.5*linterp(0,atmos_h,atmos_rho)*((A35*linterp(0,atmos_h,atmos_aspeed))^2)*wingarea)</f>
        <v>0.13903898463397768</v>
      </c>
      <c r="C35">
        <f t="shared" si="0"/>
        <v>2.1198574033378943E-2</v>
      </c>
      <c r="D35" cm="1">
        <f t="array" ref="D35">C35*(0.5*linterp(0,atmos_h,atmos_rho)*((A35*linterp(0,atmos_h,atmos_aspeed))^2)*wingarea)</f>
        <v>137.21846919600335</v>
      </c>
      <c r="E35">
        <f t="shared" si="1"/>
        <v>6.5588838388397761</v>
      </c>
      <c r="F35">
        <f t="shared" si="2"/>
        <v>178.38400995480436</v>
      </c>
      <c r="G35">
        <f t="shared" si="3"/>
        <v>2.6715734287006581</v>
      </c>
      <c r="H35">
        <f t="shared" si="4"/>
        <v>17.589830139511474</v>
      </c>
      <c r="I35" cm="1">
        <f t="array" ref="I35">(2/(F35/D35))*SQRT(2/(linterp(0,atmos_h,atmos_rho)*wingarea))*H35*(SQRT(900)-SQRT(900-370))</f>
        <v>890.97445489427503</v>
      </c>
    </row>
    <row r="36" spans="1:9" x14ac:dyDescent="0.25">
      <c r="A36">
        <v>0.35</v>
      </c>
      <c r="B36" cm="1">
        <f t="array" ref="B36">(1*perfweight)/(0.5*linterp(0,atmos_h,atmos_rho)*((A36*linterp(0,atmos_h,atmos_aspeed))^2)*wingarea)</f>
        <v>0.13120740100969649</v>
      </c>
      <c r="C36">
        <f t="shared" si="0"/>
        <v>2.1067353688942598E-2</v>
      </c>
      <c r="D36" cm="1">
        <f t="array" ref="D36">C36*(0.5*linterp(0,atmos_h,atmos_rho)*((A36*linterp(0,atmos_h,atmos_aspeed))^2)*wingarea)</f>
        <v>144.50875616877062</v>
      </c>
      <c r="E36">
        <f t="shared" si="1"/>
        <v>6.2279963087419921</v>
      </c>
      <c r="F36">
        <f t="shared" si="2"/>
        <v>187.86138301940181</v>
      </c>
      <c r="G36">
        <f t="shared" si="3"/>
        <v>2.5367958727904742</v>
      </c>
      <c r="H36">
        <f t="shared" si="4"/>
        <v>17.193693476626986</v>
      </c>
      <c r="I36" cm="1">
        <f t="array" ref="I36">(2/(F36/D36))*SQRT(2/(linterp(0,atmos_h,atmos_rho)*wingarea))*H36*(SQRT(900)-SQRT(900-370))</f>
        <v>870.90901682706328</v>
      </c>
    </row>
    <row r="37" spans="1:9" x14ac:dyDescent="0.25">
      <c r="A37">
        <v>0.36</v>
      </c>
      <c r="B37" cm="1">
        <f t="array" ref="B37">(1*perfweight)/(0.5*linterp(0,atmos_h,atmos_rho)*((A37*linterp(0,atmos_h,atmos_aspeed))^2)*wingarea)</f>
        <v>0.1240193412321591</v>
      </c>
      <c r="C37">
        <f t="shared" si="0"/>
        <v>2.0953609413978842E-2</v>
      </c>
      <c r="D37" cm="1">
        <f t="array" ref="D37">C37*(0.5*linterp(0,atmos_h,atmos_rho)*((A37*linterp(0,atmos_h,atmos_aspeed))^2)*wingarea)</f>
        <v>152.05893117331669</v>
      </c>
      <c r="E37">
        <f t="shared" si="1"/>
        <v>5.9187578990291625</v>
      </c>
      <c r="F37">
        <f t="shared" si="2"/>
        <v>197.6766105253117</v>
      </c>
      <c r="G37">
        <f t="shared" si="3"/>
        <v>2.4108364658514136</v>
      </c>
      <c r="H37">
        <f t="shared" si="4"/>
        <v>16.806832269750416</v>
      </c>
      <c r="I37" cm="1">
        <f t="array" ref="I37">(2/(F37/D37))*SQRT(2/(linterp(0,atmos_h,atmos_rho)*wingarea))*H37*(SQRT(900)-SQRT(900-370))</f>
        <v>851.3134067397126</v>
      </c>
    </row>
    <row r="38" spans="1:9" x14ac:dyDescent="0.25">
      <c r="A38">
        <v>0.37</v>
      </c>
      <c r="B38" cm="1">
        <f t="array" ref="B38">(1*perfweight)/(0.5*linterp(0,atmos_h,atmos_rho)*((A38*linterp(0,atmos_h,atmos_aspeed))^2)*wingarea)</f>
        <v>0.11740618424899794</v>
      </c>
      <c r="C38">
        <f t="shared" si="0"/>
        <v>2.0854621150194399E-2</v>
      </c>
      <c r="D38" cm="1">
        <f t="array" ref="D38">C38*(0.5*linterp(0,atmos_h,atmos_rho)*((A38*linterp(0,atmos_h,atmos_aspeed))^2)*wingarea)</f>
        <v>159.86516515491945</v>
      </c>
      <c r="E38">
        <f t="shared" si="1"/>
        <v>5.6297442856162139</v>
      </c>
      <c r="F38">
        <f t="shared" si="2"/>
        <v>207.82471470139529</v>
      </c>
      <c r="G38">
        <f t="shared" si="3"/>
        <v>2.2931150502723598</v>
      </c>
      <c r="H38">
        <f t="shared" si="4"/>
        <v>16.430212560035088</v>
      </c>
      <c r="I38" cm="1">
        <f t="array" ref="I38">(2/(F38/D38))*SQRT(2/(linterp(0,atmos_h,atmos_rho)*wingarea))*H38*(SQRT(900)-SQRT(900-370))</f>
        <v>832.23655733840428</v>
      </c>
    </row>
    <row r="39" spans="1:9" x14ac:dyDescent="0.25">
      <c r="A39">
        <v>0.38</v>
      </c>
      <c r="B39" cm="1">
        <f t="array" ref="B39">(1*perfweight)/(0.5*linterp(0,atmos_h,atmos_rho)*((A39*linterp(0,atmos_h,atmos_aspeed))^2)*wingarea)</f>
        <v>0.11130821761556657</v>
      </c>
      <c r="C39">
        <f t="shared" si="0"/>
        <v>2.076815019714277E-2</v>
      </c>
      <c r="D39" cm="1">
        <f t="array" ref="D39">C39*(0.5*linterp(0,atmos_h,atmos_rho)*((A39*linterp(0,atmos_h,atmos_aspeed))^2)*wingarea)</f>
        <v>167.92412615916768</v>
      </c>
      <c r="E39">
        <f t="shared" si="1"/>
        <v>5.3595633967863003</v>
      </c>
      <c r="F39">
        <f t="shared" si="2"/>
        <v>218.30136400691799</v>
      </c>
      <c r="G39">
        <f t="shared" si="3"/>
        <v>2.1830646055204053</v>
      </c>
      <c r="H39">
        <f t="shared" si="4"/>
        <v>16.064447671899661</v>
      </c>
      <c r="I39" cm="1">
        <f t="array" ref="I39">(2/(F39/D39))*SQRT(2/(linterp(0,atmos_h,atmos_rho)*wingarea))*H39*(SQRT(900)-SQRT(900-370))</f>
        <v>813.70953523294929</v>
      </c>
    </row>
    <row r="40" spans="1:9" x14ac:dyDescent="0.25">
      <c r="A40">
        <v>0.39</v>
      </c>
      <c r="B40" cm="1">
        <f t="array" ref="B40">(1*perfweight)/(0.5*linterp(0,atmos_h,atmos_rho)*((A40*linterp(0,atmos_h,atmos_aspeed))^2)*wingarea)</f>
        <v>0.10567328483686926</v>
      </c>
      <c r="C40">
        <f t="shared" si="0"/>
        <v>2.0692344273949274E-2</v>
      </c>
      <c r="D40" cm="1">
        <f t="array" ref="D40">C40*(0.5*linterp(0,atmos_h,atmos_rho)*((A40*linterp(0,atmos_h,atmos_aspeed))^2)*wingarea)</f>
        <v>176.23290385364049</v>
      </c>
      <c r="E40">
        <f t="shared" si="1"/>
        <v>5.1068783429196634</v>
      </c>
      <c r="F40">
        <f t="shared" si="2"/>
        <v>229.10277500973265</v>
      </c>
      <c r="G40">
        <f t="shared" si="3"/>
        <v>2.0801405879090011</v>
      </c>
      <c r="H40">
        <f t="shared" si="4"/>
        <v>15.709881469840058</v>
      </c>
      <c r="I40" cm="1">
        <f t="array" ref="I40">(2/(F40/D40))*SQRT(2/(linterp(0,atmos_h,atmos_rho)*wingarea))*H40*(SQRT(900)-SQRT(900-370))</f>
        <v>795.74975812888454</v>
      </c>
    </row>
    <row r="41" spans="1:9" x14ac:dyDescent="0.25">
      <c r="A41">
        <v>0.4</v>
      </c>
      <c r="B41" cm="1">
        <f t="array" ref="B41">(1*perfweight)/(0.5*linterp(0,atmos_h,atmos_rho)*((A41*linterp(0,atmos_h,atmos_aspeed))^2)*wingarea)</f>
        <v>0.10045566639804884</v>
      </c>
      <c r="C41">
        <f t="shared" si="0"/>
        <v>2.0625663136511516E-2</v>
      </c>
      <c r="D41" cm="1">
        <f t="array" ref="D41">C41*(0.5*linterp(0,atmos_h,atmos_rho)*((A41*linterp(0,atmos_h,atmos_aspeed))^2)*wingarea)</f>
        <v>184.78894708940896</v>
      </c>
      <c r="E41">
        <f t="shared" si="1"/>
        <v>4.8704211706154741</v>
      </c>
      <c r="F41">
        <f t="shared" si="2"/>
        <v>240.22563121623165</v>
      </c>
      <c r="G41">
        <f t="shared" si="3"/>
        <v>1.9838265329454494</v>
      </c>
      <c r="H41">
        <f t="shared" si="4"/>
        <v>15.366653517136388</v>
      </c>
      <c r="I41" cm="1">
        <f t="array" ref="I41">(2/(F41/D41))*SQRT(2/(linterp(0,atmos_h,atmos_rho)*wingarea))*H41*(SQRT(900)-SQRT(900-370))</f>
        <v>778.36429529955876</v>
      </c>
    </row>
    <row r="42" spans="1:9" x14ac:dyDescent="0.25">
      <c r="A42">
        <v>0.41</v>
      </c>
      <c r="B42" cm="1">
        <f t="array" ref="B42">(1*perfweight)/(0.5*linterp(0,atmos_h,atmos_rho)*((A42*linterp(0,atmos_h,atmos_aspeed))^2)*wingarea)</f>
        <v>9.5615149456798429E-2</v>
      </c>
      <c r="C42">
        <f t="shared" si="0"/>
        <v>2.0566819921950048E-2</v>
      </c>
      <c r="D42" cm="1">
        <f t="array" ref="D42">C42*(0.5*linterp(0,atmos_h,atmos_rho)*((A42*linterp(0,atmos_h,atmos_aspeed))^2)*wingarea)</f>
        <v>193.59001198987232</v>
      </c>
      <c r="E42">
        <f t="shared" si="1"/>
        <v>4.6490001769672062</v>
      </c>
      <c r="F42">
        <f t="shared" si="2"/>
        <v>251.66701558683403</v>
      </c>
      <c r="G42">
        <f t="shared" si="3"/>
        <v>1.8936370345914355</v>
      </c>
      <c r="H42">
        <f t="shared" si="4"/>
        <v>15.034749917597235</v>
      </c>
      <c r="I42" cm="1">
        <f t="array" ref="I42">(2/(F42/D42))*SQRT(2/(linterp(0,atmos_h,atmos_rho)*wingarea))*H42*(SQRT(900)-SQRT(900-370))</f>
        <v>761.55244286372522</v>
      </c>
    </row>
    <row r="43" spans="1:9" x14ac:dyDescent="0.25">
      <c r="A43">
        <v>0.42</v>
      </c>
      <c r="B43" cm="1">
        <f t="array" ref="B43">(1*perfweight)/(0.5*linterp(0,atmos_h,atmos_rho)*((A43*linterp(0,atmos_h,atmos_aspeed))^2)*wingarea)</f>
        <v>9.1116250701178098E-2</v>
      </c>
      <c r="C43">
        <f t="shared" si="0"/>
        <v>2.0514734610794075E-2</v>
      </c>
      <c r="D43" cm="1">
        <f t="array" ref="D43">C43*(0.5*linterp(0,atmos_h,atmos_rho)*((A43*linterp(0,atmos_h,atmos_aspeed))^2)*wingarea)</f>
        <v>202.63411858622433</v>
      </c>
      <c r="E43">
        <f t="shared" si="1"/>
        <v>4.4415027749487033</v>
      </c>
      <c r="F43">
        <f t="shared" si="2"/>
        <v>263.42435416209162</v>
      </c>
      <c r="G43">
        <f t="shared" si="3"/>
        <v>1.8091189123959512</v>
      </c>
      <c r="H43">
        <f t="shared" si="4"/>
        <v>14.714042880378301</v>
      </c>
      <c r="I43" cm="1">
        <f t="array" ref="I43">(2/(F43/D43))*SQRT(2/(linterp(0,atmos_h,atmos_rho)*wingarea))*H43*(SQRT(900)-SQRT(900-370))</f>
        <v>745.30772785507691</v>
      </c>
    </row>
    <row r="44" spans="1:9" x14ac:dyDescent="0.25">
      <c r="A44">
        <v>0.43</v>
      </c>
      <c r="B44" cm="1">
        <f t="array" ref="B44">(1*perfweight)/(0.5*linterp(0,atmos_h,atmos_rho)*((A44*linterp(0,atmos_h,atmos_aspeed))^2)*wingarea)</f>
        <v>8.6927564216808098E-2</v>
      </c>
      <c r="C44">
        <f t="shared" si="0"/>
        <v>2.0468496888081372E-2</v>
      </c>
      <c r="D44" cm="1">
        <f t="array" ref="D44">C44*(0.5*linterp(0,atmos_h,atmos_rho)*((A44*linterp(0,atmos_h,atmos_aspeed))^2)*wingarea)</f>
        <v>211.9195144284426</v>
      </c>
      <c r="E44">
        <f t="shared" si="1"/>
        <v>4.2468953481105522</v>
      </c>
      <c r="F44">
        <f t="shared" si="2"/>
        <v>275.49536875697538</v>
      </c>
      <c r="G44">
        <f t="shared" si="3"/>
        <v>1.7298511523100242</v>
      </c>
      <c r="H44">
        <f t="shared" si="4"/>
        <v>14.404321429441017</v>
      </c>
      <c r="I44" cm="1">
        <f t="array" ref="I44">(2/(F44/D44))*SQRT(2/(linterp(0,atmos_h,atmos_rho)*wingarea))*H44*(SQRT(900)-SQRT(900-370))</f>
        <v>729.6194637428473</v>
      </c>
    </row>
    <row r="45" spans="1:9" x14ac:dyDescent="0.25">
      <c r="A45">
        <v>0.44</v>
      </c>
      <c r="B45" cm="1">
        <f t="array" ref="B45">(1*perfweight)/(0.5*linterp(0,atmos_h,atmos_rho)*((A45*linterp(0,atmos_h,atmos_aspeed))^2)*wingarea)</f>
        <v>8.3021211899213923E-2</v>
      </c>
      <c r="C45">
        <f t="shared" si="0"/>
        <v>2.042733634076328E-2</v>
      </c>
      <c r="D45" cm="1">
        <f t="array" ref="D45">C45*(0.5*linterp(0,atmos_h,atmos_rho)*((A45*linterp(0,atmos_h,atmos_aspeed))^2)*wingarea)</f>
        <v>221.44464391829752</v>
      </c>
      <c r="E45">
        <f t="shared" si="1"/>
        <v>4.0642211257638587</v>
      </c>
      <c r="F45">
        <f t="shared" si="2"/>
        <v>287.87803709378676</v>
      </c>
      <c r="G45">
        <f t="shared" si="3"/>
        <v>1.6554440412037066</v>
      </c>
      <c r="H45">
        <f t="shared" si="4"/>
        <v>14.105315174133429</v>
      </c>
      <c r="I45" cm="1">
        <f t="array" ref="I45">(2/(F45/D45))*SQRT(2/(linterp(0,atmos_h,atmos_rho)*wingarea))*H45*(SQRT(900)-SQRT(900-370))</f>
        <v>714.4739544787052</v>
      </c>
    </row>
    <row r="46" spans="1:9" x14ac:dyDescent="0.25">
      <c r="A46">
        <v>0.45</v>
      </c>
      <c r="B46" cm="1">
        <f t="array" ref="B46">(1*perfweight)/(0.5*linterp(0,atmos_h,atmos_rho)*((A46*linterp(0,atmos_h,atmos_aspeed))^2)*wingarea)</f>
        <v>7.9372378388581813E-2</v>
      </c>
      <c r="C46">
        <f t="shared" si="0"/>
        <v>2.0390598415965733E-2</v>
      </c>
      <c r="D46" cm="1">
        <f t="array" ref="D46">C46*(0.5*linterp(0,atmos_h,atmos_rho)*((A46*linterp(0,atmos_h,atmos_aspeed))^2)*wingarea)</f>
        <v>231.20812235871136</v>
      </c>
      <c r="E46">
        <f t="shared" si="1"/>
        <v>3.8925968119912384</v>
      </c>
      <c r="F46">
        <f t="shared" si="2"/>
        <v>300.57055906632479</v>
      </c>
      <c r="G46">
        <f t="shared" si="3"/>
        <v>1.585537793790271</v>
      </c>
      <c r="H46">
        <f t="shared" si="4"/>
        <v>13.816712650899474</v>
      </c>
      <c r="I46" cm="1">
        <f t="array" ref="I46">(2/(F46/D46))*SQRT(2/(linterp(0,atmos_h,atmos_rho)*wingarea))*H46*(SQRT(900)-SQRT(900-370))</f>
        <v>699.85542355600535</v>
      </c>
    </row>
    <row r="47" spans="1:9" x14ac:dyDescent="0.25">
      <c r="A47">
        <v>0.46</v>
      </c>
      <c r="B47" cm="1">
        <f t="array" ref="B47">(1*perfweight)/(0.5*linterp(0,atmos_h,atmos_rho)*((A47*linterp(0,atmos_h,atmos_aspeed))^2)*wingarea)</f>
        <v>7.5958915990963216E-2</v>
      </c>
      <c r="C47">
        <f t="shared" si="0"/>
        <v>2.0357724928948377E-2</v>
      </c>
      <c r="D47" cm="1">
        <f t="array" ref="D47">C47*(0.5*linterp(0,atmos_h,atmos_rho)*((A47*linterp(0,atmos_h,atmos_aspeed))^2)*wingarea)</f>
        <v>241.20871390836186</v>
      </c>
      <c r="E47">
        <f t="shared" si="1"/>
        <v>3.7312084850380693</v>
      </c>
      <c r="F47">
        <f t="shared" si="2"/>
        <v>313.57132808087044</v>
      </c>
      <c r="G47">
        <f t="shared" si="3"/>
        <v>1.5198008823607174</v>
      </c>
      <c r="H47">
        <f t="shared" si="4"/>
        <v>13.5381754222939</v>
      </c>
      <c r="I47" cm="1">
        <f t="array" ref="I47">(2/(F47/D47))*SQRT(2/(linterp(0,atmos_h,atmos_rho)*wingarea))*H47*(SQRT(900)-SQRT(900-370))</f>
        <v>685.74672816461793</v>
      </c>
    </row>
    <row r="48" spans="1:9" x14ac:dyDescent="0.25">
      <c r="A48">
        <v>0.47</v>
      </c>
      <c r="B48" cm="1">
        <f t="array" ref="B48">(1*perfweight)/(0.5*linterp(0,atmos_h,atmos_rho)*((A48*linterp(0,atmos_h,atmos_aspeed))^2)*wingarea)</f>
        <v>7.2761007803023192E-2</v>
      </c>
      <c r="C48">
        <f t="shared" si="0"/>
        <v>2.0328238183903721E-2</v>
      </c>
      <c r="D48" cm="1">
        <f t="array" ref="D48">C48*(0.5*linterp(0,atmos_h,atmos_rho)*((A48*linterp(0,atmos_h,atmos_aspeed))^2)*wingarea)</f>
        <v>251.44531278404287</v>
      </c>
      <c r="E48">
        <f t="shared" si="1"/>
        <v>3.5793071266075938</v>
      </c>
      <c r="F48">
        <f t="shared" si="2"/>
        <v>326.87890661925576</v>
      </c>
      <c r="G48">
        <f t="shared" si="3"/>
        <v>1.4579282157702111</v>
      </c>
      <c r="H48">
        <f t="shared" si="4"/>
        <v>13.269348863289016</v>
      </c>
      <c r="I48" cm="1">
        <f t="array" ref="I48">(2/(F48/D48))*SQRT(2/(linterp(0,atmos_h,atmos_rho)*wingarea))*H48*(SQRT(900)-SQRT(900-370))</f>
        <v>672.1299055477549</v>
      </c>
    </row>
    <row r="49" spans="1:9" x14ac:dyDescent="0.25">
      <c r="A49">
        <v>0.48</v>
      </c>
      <c r="B49" cm="1">
        <f t="array" ref="B49">(1*perfweight)/(0.5*linterp(0,atmos_h,atmos_rho)*((A49*linterp(0,atmos_h,atmos_aspeed))^2)*wingarea)</f>
        <v>6.976087944308948E-2</v>
      </c>
      <c r="C49">
        <f t="shared" si="0"/>
        <v>2.0301727978641743E-2</v>
      </c>
      <c r="D49" cm="1">
        <f t="array" ref="D49">C49*(0.5*linterp(0,atmos_h,atmos_rho)*((A49*linterp(0,atmos_h,atmos_aspeed))^2)*wingarea)</f>
        <v>261.91692717525723</v>
      </c>
      <c r="E49">
        <f t="shared" si="1"/>
        <v>3.436204027385295</v>
      </c>
      <c r="F49">
        <f t="shared" si="2"/>
        <v>340.49200532783442</v>
      </c>
      <c r="G49">
        <f t="shared" si="3"/>
        <v>1.3996392680100638</v>
      </c>
      <c r="H49">
        <f t="shared" si="4"/>
        <v>13.009870363144573</v>
      </c>
      <c r="I49" cm="1">
        <f t="array" ref="I49">(2/(F49/D49))*SQRT(2/(linterp(0,atmos_h,atmos_rho)*wingarea))*H49*(SQRT(900)-SQRT(900-370))</f>
        <v>658.98658844978775</v>
      </c>
    </row>
    <row r="50" spans="1:9" x14ac:dyDescent="0.25">
      <c r="A50">
        <v>0.49</v>
      </c>
      <c r="B50" cm="1">
        <f t="array" ref="B50">(1*perfweight)/(0.5*linterp(0,atmos_h,atmos_rho)*((A50*linterp(0,atmos_h,atmos_aspeed))^2)*wingarea)</f>
        <v>6.6942551535559433E-2</v>
      </c>
      <c r="C50">
        <f t="shared" si="0"/>
        <v>2.0277840922777644E-2</v>
      </c>
      <c r="D50" cm="1">
        <f t="array" ref="D50">C50*(0.5*linterp(0,atmos_h,atmos_rho)*((A50*linterp(0,atmos_h,atmos_aspeed))^2)*wingarea)</f>
        <v>272.62266543284613</v>
      </c>
      <c r="E50">
        <f t="shared" si="1"/>
        <v>3.3012662339393524</v>
      </c>
      <c r="F50">
        <f t="shared" si="2"/>
        <v>354.40946506270001</v>
      </c>
      <c r="G50">
        <f t="shared" si="3"/>
        <v>1.3446762236330729</v>
      </c>
      <c r="H50">
        <f t="shared" si="4"/>
        <v>12.759375512793163</v>
      </c>
      <c r="I50" cm="1">
        <f t="array" ref="I50">(2/(F50/D50))*SQRT(2/(linterp(0,atmos_h,atmos_rho)*wingarea))*H50*(SQRT(900)-SQRT(900-370))</f>
        <v>646.29831852475093</v>
      </c>
    </row>
    <row r="51" spans="1:9" x14ac:dyDescent="0.25">
      <c r="A51">
        <v>0.5</v>
      </c>
      <c r="B51" cm="1">
        <f t="array" ref="B51">(1*perfweight)/(0.5*linterp(0,atmos_h,atmos_rho)*((A51*linterp(0,atmos_h,atmos_aspeed))^2)*wingarea)</f>
        <v>6.4291626494751272E-2</v>
      </c>
      <c r="C51">
        <f t="shared" si="0"/>
        <v>2.0256271620715117E-2</v>
      </c>
      <c r="D51" cm="1">
        <f t="array" ref="D51">C51*(0.5*linterp(0,atmos_h,atmos_rho)*((A51*linterp(0,atmos_h,atmos_aspeed))^2)*wingarea)</f>
        <v>283.56172417152868</v>
      </c>
      <c r="E51">
        <f t="shared" si="1"/>
        <v>3.1739121442765068</v>
      </c>
      <c r="F51">
        <f t="shared" si="2"/>
        <v>368.6302414229873</v>
      </c>
      <c r="G51">
        <f t="shared" si="3"/>
        <v>1.2928021837293864</v>
      </c>
      <c r="H51">
        <f t="shared" si="4"/>
        <v>12.517502723682602</v>
      </c>
      <c r="I51" cm="1">
        <f t="array" ref="I51">(2/(F51/D51))*SQRT(2/(linterp(0,atmos_h,atmos_rho)*wingarea))*H51*(SQRT(900)-SQRT(900-370))</f>
        <v>634.04678029372133</v>
      </c>
    </row>
    <row r="52" spans="1:9" x14ac:dyDescent="0.25">
      <c r="A52">
        <v>0.51</v>
      </c>
      <c r="B52" cm="1">
        <f t="array" ref="B52">(1*perfweight)/(0.5*linterp(0,atmos_h,atmos_rho)*((A52*linterp(0,atmos_h,atmos_aspeed))^2)*wingarea)</f>
        <v>6.1795104281767842E-2</v>
      </c>
      <c r="C52">
        <f t="shared" si="0"/>
        <v>2.0236755364618064E-2</v>
      </c>
      <c r="D52" cm="1">
        <f t="array" ref="D52">C52*(0.5*linterp(0,atmos_h,atmos_rho)*((A52*linterp(0,atmos_h,atmos_aspeed))^2)*wingarea)</f>
        <v>294.7333779891344</v>
      </c>
      <c r="E52">
        <f t="shared" si="1"/>
        <v>3.0536073183851586</v>
      </c>
      <c r="F52">
        <f t="shared" si="2"/>
        <v>383.15339138587473</v>
      </c>
      <c r="G52">
        <f t="shared" si="3"/>
        <v>1.2437994594712543</v>
      </c>
      <c r="H52">
        <f t="shared" si="4"/>
        <v>12.283896626990453</v>
      </c>
      <c r="I52" cm="1">
        <f t="array" ref="I52">(2/(F52/D52))*SQRT(2/(linterp(0,atmos_h,atmos_rho)*wingarea))*H52*(SQRT(900)-SQRT(900-370))</f>
        <v>622.21397332461163</v>
      </c>
    </row>
    <row r="53" spans="1:9" x14ac:dyDescent="0.25">
      <c r="A53">
        <v>0.52</v>
      </c>
      <c r="B53" cm="1">
        <f t="array" ref="B53">(1*perfweight)/(0.5*linterp(0,atmos_h,atmos_rho)*((A53*linterp(0,atmos_h,atmos_aspeed))^2)*wingarea)</f>
        <v>5.9441222720738957E-2</v>
      </c>
      <c r="C53">
        <f t="shared" si="0"/>
        <v>2.0219062055429261E-2</v>
      </c>
      <c r="D53" cm="1">
        <f t="array" ref="D53">C53*(0.5*linterp(0,atmos_h,atmos_rho)*((A53*linterp(0,atmos_h,atmos_aspeed))^2)*wingarea)</f>
        <v>306.13697055624959</v>
      </c>
      <c r="E53">
        <f t="shared" si="1"/>
        <v>2.9398605413932981</v>
      </c>
      <c r="F53">
        <f t="shared" si="2"/>
        <v>397.97806172312448</v>
      </c>
      <c r="G53">
        <f t="shared" si="3"/>
        <v>1.1974679685531977</v>
      </c>
      <c r="H53">
        <f t="shared" si="4"/>
        <v>12.058210526248564</v>
      </c>
      <c r="I53" cm="1">
        <f t="array" ref="I53">(2/(F53/D53))*SQRT(2/(linterp(0,atmos_h,atmos_rho)*wingarea))*H53*(SQRT(900)-SQRT(900-370))</f>
        <v>610.7823364645127</v>
      </c>
    </row>
    <row r="54" spans="1:9" x14ac:dyDescent="0.25">
      <c r="A54">
        <v>0.53</v>
      </c>
      <c r="B54" cm="1">
        <f t="array" ref="B54">(1*perfweight)/(0.5*linterp(0,atmos_h,atmos_rho)*((A54*linterp(0,atmos_h,atmos_aspeed))^2)*wingarea)</f>
        <v>5.7219318703053801E-2</v>
      </c>
      <c r="C54">
        <f t="shared" si="0"/>
        <v>2.0202991126836184E-2</v>
      </c>
      <c r="D54" cm="1">
        <f t="array" ref="D54">C54*(0.5*linterp(0,atmos_h,atmos_rho)*((A54*linterp(0,atmos_h,atmos_aspeed))^2)*wingarea)</f>
        <v>317.77190687141393</v>
      </c>
      <c r="E54">
        <f t="shared" si="1"/>
        <v>2.8322201570958381</v>
      </c>
      <c r="F54">
        <f t="shared" si="2"/>
        <v>413.10347893283813</v>
      </c>
      <c r="G54">
        <f t="shared" si="3"/>
        <v>1.1536237417594066</v>
      </c>
      <c r="H54">
        <f t="shared" si="4"/>
        <v>11.840108117079945</v>
      </c>
      <c r="I54" cm="1">
        <f t="array" ref="I54">(2/(F54/D54))*SQRT(2/(linterp(0,atmos_h,atmos_rho)*wingarea))*H54*(SQRT(900)-SQRT(900-370))</f>
        <v>599.73483494921174</v>
      </c>
    </row>
    <row r="55" spans="1:9" x14ac:dyDescent="0.25">
      <c r="A55">
        <v>0.54</v>
      </c>
      <c r="B55" cm="1">
        <f t="array" ref="B55">(1*perfweight)/(0.5*linterp(0,atmos_h,atmos_rho)*((A55*linterp(0,atmos_h,atmos_aspeed))^2)*wingarea)</f>
        <v>5.5119707214292921E-2</v>
      </c>
      <c r="C55">
        <f t="shared" si="0"/>
        <v>2.018836729165014E-2</v>
      </c>
      <c r="D55" cm="1">
        <f t="array" ref="D55">C55*(0.5*linterp(0,atmos_h,atmos_rho)*((A55*linterp(0,atmos_h,atmos_aspeed))^2)*wingarea)</f>
        <v>329.63764651082255</v>
      </c>
      <c r="E55">
        <f t="shared" si="1"/>
        <v>2.7302706760784115</v>
      </c>
      <c r="F55">
        <f t="shared" si="2"/>
        <v>428.52894046406931</v>
      </c>
      <c r="G55">
        <f t="shared" si="3"/>
        <v>1.1120975413801424</v>
      </c>
      <c r="H55">
        <f t="shared" si="4"/>
        <v>11.62926464133497</v>
      </c>
      <c r="I55" cm="1">
        <f t="array" ref="I55">(2/(F55/D55))*SQRT(2/(linterp(0,atmos_h,atmos_rho)*wingarea))*H55*(SQRT(900)-SQRT(900-370))</f>
        <v>589.05501886344314</v>
      </c>
    </row>
    <row r="56" spans="1:9" x14ac:dyDescent="0.25">
      <c r="A56">
        <v>0.55000000000000004</v>
      </c>
      <c r="B56" cm="1">
        <f t="array" ref="B56">(1*perfweight)/(0.5*linterp(0,atmos_h,atmos_rho)*((A56*linterp(0,atmos_h,atmos_aspeed))^2)*wingarea)</f>
        <v>5.3133575615496899E-2</v>
      </c>
      <c r="C56">
        <f t="shared" si="0"/>
        <v>2.017503696517664E-2</v>
      </c>
      <c r="D56" cm="1">
        <f t="array" ref="D56">C56*(0.5*linterp(0,atmos_h,atmos_rho)*((A56*linterp(0,atmos_h,atmos_aspeed))^2)*wingarea)</f>
        <v>341.73369772922194</v>
      </c>
      <c r="E56">
        <f t="shared" si="1"/>
        <v>2.633629653675913</v>
      </c>
      <c r="F56">
        <f t="shared" si="2"/>
        <v>444.25380704798852</v>
      </c>
      <c r="G56">
        <f t="shared" si="3"/>
        <v>1.0727335895375905</v>
      </c>
      <c r="H56">
        <f t="shared" si="4"/>
        <v>11.425367606585608</v>
      </c>
      <c r="I56" cm="1">
        <f t="array" ref="I56">(2/(F56/D56))*SQRT(2/(linterp(0,atmos_h,atmos_rho)*wingarea))*H56*(SQRT(900)-SQRT(900-370))</f>
        <v>578.72705958529764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D78FF-C08E-455F-9102-25607097842E}">
  <sheetPr codeName="Sheet2"/>
  <dimension ref="A1:I56"/>
  <sheetViews>
    <sheetView topLeftCell="A18" workbookViewId="0">
      <selection activeCell="K55" sqref="K55"/>
    </sheetView>
  </sheetViews>
  <sheetFormatPr defaultRowHeight="15" x14ac:dyDescent="0.25"/>
  <cols>
    <col min="4" max="4" width="19.140625" bestFit="1" customWidth="1"/>
    <col min="6" max="6" width="10.28515625" bestFit="1" customWidth="1"/>
    <col min="7" max="8" width="12" bestFit="1" customWidth="1"/>
  </cols>
  <sheetData>
    <row r="1" spans="1:9" x14ac:dyDescent="0.25">
      <c r="A1" t="s">
        <v>35</v>
      </c>
      <c r="B1" t="s">
        <v>37</v>
      </c>
      <c r="C1" t="s">
        <v>38</v>
      </c>
      <c r="D1" t="s">
        <v>36</v>
      </c>
      <c r="E1" t="s">
        <v>39</v>
      </c>
      <c r="F1" t="s">
        <v>42</v>
      </c>
      <c r="G1" t="s">
        <v>41</v>
      </c>
      <c r="H1" t="s">
        <v>43</v>
      </c>
      <c r="I1" t="s">
        <v>44</v>
      </c>
    </row>
    <row r="2" spans="1:9" x14ac:dyDescent="0.25">
      <c r="A2">
        <v>0.01</v>
      </c>
      <c r="B2" cm="1">
        <f t="array" ref="B2">(1*perfweight)/(0.5*linterp(10000,atmos_h,atmos_rho)*((A2*linterp(10000,atmos_h,atmos_aspeed))^2)*wingarea)</f>
        <v>233.78494265185881</v>
      </c>
      <c r="C2">
        <f>0.02+(0.062*(B2^2))</f>
        <v>3388.6547634654407</v>
      </c>
      <c r="D2" cm="1">
        <f t="array" ref="D2">C2*(0.5*linterp(0,atmos_h,atmos_rho)*((A2*linterp(0,atmos_h,atmos_aspeed))^2)*wingarea)</f>
        <v>18974.721613974907</v>
      </c>
      <c r="E2">
        <f>B2/C2</f>
        <v>6.8990487072450063E-2</v>
      </c>
      <c r="F2" cm="1">
        <f t="array" ref="F2">D2*1.3*(linterp(10000,atmos_h,atmos_aspeed)/linterp(0,atmos_h,atmos_aspeed))</f>
        <v>23803.260216614661</v>
      </c>
      <c r="G2">
        <f>(1/(F2/D2))*E2*LN(900/(900-370))</f>
        <v>2.9121162508864699E-2</v>
      </c>
      <c r="H2">
        <f>SQRT(B2)/C2</f>
        <v>4.5121231352559946E-3</v>
      </c>
      <c r="I2" cm="1">
        <f t="array" ref="I2">(2/(F2/D2))*SQRT(2/(linterp(10000,atmos_h,atmos_rho)*wingarea))*H2*(SQRT(900)-SQRT(900-370))</f>
        <v>0.27564213633363721</v>
      </c>
    </row>
    <row r="3" spans="1:9" x14ac:dyDescent="0.25">
      <c r="A3">
        <v>0.02</v>
      </c>
      <c r="B3" cm="1">
        <f t="array" ref="B3">(1*perfweight)/(0.5*linterp(10000,atmos_h,atmos_rho)*((A3*linterp(10000,atmos_h,atmos_aspeed))^2)*wingarea)</f>
        <v>58.446235662964703</v>
      </c>
      <c r="C3">
        <f t="shared" ref="C3:C56" si="0">0.02+(0.062*(B3^2))</f>
        <v>211.80967271659006</v>
      </c>
      <c r="D3" cm="1">
        <f t="array" ref="D3">C3*(0.5*linterp(0,atmos_h,atmos_rho)*((A3*linterp(0,atmos_h,atmos_aspeed))^2)*wingarea)</f>
        <v>4744.1003648708474</v>
      </c>
      <c r="E3">
        <f t="shared" ref="E3:E56" si="1">B3/C3</f>
        <v>0.27593751934628663</v>
      </c>
      <c r="F3" cm="1">
        <f t="array" ref="F3">D3*1.3*(linterp(10000,atmos_h,atmos_aspeed)/linterp(0,atmos_h,atmos_aspeed))</f>
        <v>5951.3418840141458</v>
      </c>
      <c r="G3">
        <f t="shared" ref="G3:G56" si="2">(1/(F3/D3))*E3*LN(900/(900-370))</f>
        <v>0.11647433847999417</v>
      </c>
      <c r="H3">
        <f t="shared" ref="H3:H56" si="3">SQRT(B3)/C3</f>
        <v>3.6093789673351043E-2</v>
      </c>
      <c r="I3" cm="1">
        <f t="array" ref="I3">(2/(F3/D3))*SQRT(2/(linterp(10000,atmos_h,atmos_rho)*wingarea))*H3*(SQRT(900)-SQRT(900-370))</f>
        <v>2.2049418856063641</v>
      </c>
    </row>
    <row r="4" spans="1:9" x14ac:dyDescent="0.25">
      <c r="A4">
        <v>0.03</v>
      </c>
      <c r="B4" cm="1">
        <f t="array" ref="B4">(1*perfweight)/(0.5*linterp(10000,atmos_h,atmos_rho)*((A4*linterp(10000,atmos_h,atmos_aspeed))^2)*wingarea)</f>
        <v>25.976104739095433</v>
      </c>
      <c r="C4">
        <f t="shared" si="0"/>
        <v>41.854997079820293</v>
      </c>
      <c r="D4" cm="1">
        <f t="array" ref="D4">C4*(0.5*linterp(0,atmos_h,atmos_rho)*((A4*linterp(0,atmos_h,atmos_aspeed))^2)*wingarea)</f>
        <v>2109.2978655577936</v>
      </c>
      <c r="E4">
        <f t="shared" si="1"/>
        <v>0.62062134873781627</v>
      </c>
      <c r="F4" cm="1">
        <f t="array" ref="F4">D4*1.3*(linterp(10000,atmos_h,atmos_aspeed)/linterp(0,atmos_h,atmos_aspeed))</f>
        <v>2646.0554726264691</v>
      </c>
      <c r="G4">
        <f t="shared" si="2"/>
        <v>0.26196677136204632</v>
      </c>
      <c r="H4">
        <f t="shared" si="3"/>
        <v>0.1217698293505133</v>
      </c>
      <c r="I4" cm="1">
        <f t="array" ref="I4">(2/(F4/D4))*SQRT(2/(linterp(10000,atmos_h,atmos_rho)*wingarea))*H4*(SQRT(900)-SQRT(900-370))</f>
        <v>7.4388253372109299</v>
      </c>
    </row>
    <row r="5" spans="1:9" x14ac:dyDescent="0.25">
      <c r="A5">
        <v>0.04</v>
      </c>
      <c r="B5" cm="1">
        <f t="array" ref="B5">(1*perfweight)/(0.5*linterp(10000,atmos_h,atmos_rho)*((A5*linterp(10000,atmos_h,atmos_aspeed))^2)*wingarea)</f>
        <v>14.611558915741176</v>
      </c>
      <c r="C5">
        <f t="shared" si="0"/>
        <v>13.256854544786878</v>
      </c>
      <c r="D5" cm="1">
        <f t="array" ref="D5">C5*(0.5*linterp(0,atmos_h,atmos_rho)*((A5*linterp(0,atmos_h,atmos_aspeed))^2)*wingarea)</f>
        <v>1187.7049367261905</v>
      </c>
      <c r="E5">
        <f t="shared" si="1"/>
        <v>1.1021889744944831</v>
      </c>
      <c r="F5" cm="1">
        <f t="array" ref="F5">D5*1.3*(linterp(10000,atmos_h,atmos_aspeed)/linterp(0,atmos_h,atmos_aspeed))</f>
        <v>1489.9427904454499</v>
      </c>
      <c r="G5">
        <f t="shared" si="2"/>
        <v>0.46523840610120959</v>
      </c>
      <c r="H5">
        <f t="shared" si="3"/>
        <v>0.28834191972107914</v>
      </c>
      <c r="I5" cm="1">
        <f t="array" ref="I5">(2/(F5/D5))*SQRT(2/(linterp(10000,atmos_h,atmos_rho)*wingarea))*H5*(SQRT(900)-SQRT(900-370))</f>
        <v>17.61458638516325</v>
      </c>
    </row>
    <row r="6" spans="1:9" x14ac:dyDescent="0.25">
      <c r="A6">
        <v>0.05</v>
      </c>
      <c r="B6" cm="1">
        <f t="array" ref="B6">(1*perfweight)/(0.5*linterp(10000,atmos_h,atmos_rho)*((A6*linterp(10000,atmos_h,atmos_aspeed))^2)*wingarea)</f>
        <v>9.3513977060743549</v>
      </c>
      <c r="C6">
        <f t="shared" si="0"/>
        <v>5.4418156215447073</v>
      </c>
      <c r="D6" cm="1">
        <f t="array" ref="D6">C6*(0.5*linterp(0,atmos_h,atmos_rho)*((A6*linterp(0,atmos_h,atmos_aspeed))^2)*wingarea)</f>
        <v>761.78412748510539</v>
      </c>
      <c r="E6">
        <f t="shared" si="1"/>
        <v>1.7184333973115904</v>
      </c>
      <c r="F6" cm="1">
        <f t="array" ref="F6">D6*1.3*(linterp(10000,atmos_h,atmos_aspeed)/linterp(0,atmos_h,atmos_aspeed))</f>
        <v>955.63698821593164</v>
      </c>
      <c r="G6">
        <f t="shared" si="2"/>
        <v>0.72535765940047747</v>
      </c>
      <c r="H6">
        <f t="shared" si="3"/>
        <v>0.56194581437463842</v>
      </c>
      <c r="I6" cm="1">
        <f t="array" ref="I6">(2/(F6/D6))*SQRT(2/(linterp(10000,atmos_h,atmos_rho)*wingarea))*H6*(SQRT(900)-SQRT(900-370))</f>
        <v>34.328838140004095</v>
      </c>
    </row>
    <row r="7" spans="1:9" x14ac:dyDescent="0.25">
      <c r="A7">
        <v>0.06</v>
      </c>
      <c r="B7" cm="1">
        <f t="array" ref="B7">(1*perfweight)/(0.5*linterp(10000,atmos_h,atmos_rho)*((A7*linterp(10000,atmos_h,atmos_aspeed))^2)*wingarea)</f>
        <v>6.4940261847738583</v>
      </c>
      <c r="C7">
        <f t="shared" si="0"/>
        <v>2.6346873174887682</v>
      </c>
      <c r="D7" cm="1">
        <f t="array" ref="D7">C7*(0.5*linterp(0,atmos_h,atmos_rho)*((A7*linterp(0,atmos_h,atmos_aspeed))^2)*wingarea)</f>
        <v>531.10411878352556</v>
      </c>
      <c r="E7">
        <f t="shared" si="1"/>
        <v>2.4648185542425538</v>
      </c>
      <c r="F7" cm="1">
        <f t="array" ref="F7">D7*1.3*(linterp(10000,atmos_h,atmos_aspeed)/linterp(0,atmos_h,atmos_aspeed))</f>
        <v>666.25533690092334</v>
      </c>
      <c r="G7">
        <f t="shared" si="2"/>
        <v>1.0404098408173954</v>
      </c>
      <c r="H7">
        <f t="shared" si="3"/>
        <v>0.96722594329216394</v>
      </c>
      <c r="I7" cm="1">
        <f t="array" ref="I7">(2/(F7/D7))*SQRT(2/(linterp(10000,atmos_h,atmos_rho)*wingarea))*H7*(SQRT(900)-SQRT(900-370))</f>
        <v>59.087089898587948</v>
      </c>
    </row>
    <row r="8" spans="1:9" x14ac:dyDescent="0.25">
      <c r="A8">
        <v>7.0000000000000007E-2</v>
      </c>
      <c r="B8" cm="1">
        <f t="array" ref="B8">(1*perfweight)/(0.5*linterp(10000,atmos_h,atmos_rho)*((A8*linterp(10000,atmos_h,atmos_aspeed))^2)*wingarea)</f>
        <v>4.771121278609364</v>
      </c>
      <c r="C8">
        <f t="shared" si="0"/>
        <v>1.4313430918223413</v>
      </c>
      <c r="D8" cm="1">
        <f t="array" ref="D8">C8*(0.5*linterp(0,atmos_h,atmos_rho)*((A8*linterp(0,atmos_h,atmos_aspeed))^2)*wingarea)</f>
        <v>392.72442643533697</v>
      </c>
      <c r="E8">
        <f t="shared" si="1"/>
        <v>3.3333177110841548</v>
      </c>
      <c r="F8" cm="1">
        <f t="array" ref="F8">D8*1.3*(linterp(10000,atmos_h,atmos_aspeed)/linterp(0,atmos_h,atmos_aspeed))</f>
        <v>492.66186382287498</v>
      </c>
      <c r="G8">
        <f t="shared" si="2"/>
        <v>1.4070068335105512</v>
      </c>
      <c r="H8">
        <f t="shared" si="3"/>
        <v>1.5260419834234213</v>
      </c>
      <c r="I8" cm="1">
        <f t="array" ref="I8">(2/(F8/D8))*SQRT(2/(linterp(10000,atmos_h,atmos_rho)*wingarea))*H8*(SQRT(900)-SQRT(900-370))</f>
        <v>93.22473253420813</v>
      </c>
    </row>
    <row r="9" spans="1:9" x14ac:dyDescent="0.25">
      <c r="A9">
        <v>0.08</v>
      </c>
      <c r="B9" cm="1">
        <f t="array" ref="B9">(1*perfweight)/(0.5*linterp(10000,atmos_h,atmos_rho)*((A9*linterp(10000,atmos_h,atmos_aspeed))^2)*wingarea)</f>
        <v>3.652889728935294</v>
      </c>
      <c r="C9">
        <f t="shared" si="0"/>
        <v>0.84730340904917989</v>
      </c>
      <c r="D9" cm="1">
        <f t="array" ref="D9">C9*(0.5*linterp(0,atmos_h,atmos_rho)*((A9*linterp(0,atmos_h,atmos_aspeed))^2)*wingarea)</f>
        <v>303.64561621546255</v>
      </c>
      <c r="E9">
        <f t="shared" si="1"/>
        <v>4.3111944197586372</v>
      </c>
      <c r="F9" cm="1">
        <f t="array" ref="F9">D9*1.3*(linterp(10000,atmos_h,atmos_aspeed)/linterp(0,atmos_h,atmos_aspeed))</f>
        <v>380.91497537901751</v>
      </c>
      <c r="G9">
        <f t="shared" si="2"/>
        <v>1.8197725314398678</v>
      </c>
      <c r="H9">
        <f t="shared" si="3"/>
        <v>2.2556895487983879</v>
      </c>
      <c r="I9" cm="1">
        <f t="array" ref="I9">(2/(F9/D9))*SQRT(2/(linterp(10000,atmos_h,atmos_rho)*wingarea))*H9*(SQRT(900)-SQRT(900-370))</f>
        <v>137.79834182228501</v>
      </c>
    </row>
    <row r="10" spans="1:9" x14ac:dyDescent="0.25">
      <c r="A10">
        <v>0.09</v>
      </c>
      <c r="B10" cm="1">
        <f t="array" ref="B10">(1*perfweight)/(0.5*linterp(10000,atmos_h,atmos_rho)*((A10*linterp(10000,atmos_h,atmos_aspeed))^2)*wingarea)</f>
        <v>2.8862338598994923</v>
      </c>
      <c r="C10">
        <f t="shared" si="0"/>
        <v>0.53648144542988008</v>
      </c>
      <c r="D10" cm="1">
        <f t="array" ref="D10">C10*(0.5*linterp(0,atmos_h,atmos_rho)*((A10*linterp(0,atmos_h,atmos_aspeed))^2)*wingarea)</f>
        <v>243.32560555164133</v>
      </c>
      <c r="E10">
        <f t="shared" si="1"/>
        <v>5.379932306115017</v>
      </c>
      <c r="F10" cm="1">
        <f t="array" ref="F10">D10*1.3*(linterp(10000,atmos_h,atmos_aspeed)/linterp(0,atmos_h,atmos_aspeed))</f>
        <v>305.24520064870319</v>
      </c>
      <c r="G10">
        <f t="shared" si="2"/>
        <v>2.2708910984863819</v>
      </c>
      <c r="H10">
        <f t="shared" si="3"/>
        <v>3.1667301173184139</v>
      </c>
      <c r="I10" cm="1">
        <f t="array" ref="I10">(2/(F10/D10))*SQRT(2/(linterp(10000,atmos_h,atmos_rho)*wingarea))*H10*(SQRT(900)-SQRT(900-370))</f>
        <v>193.45311033498518</v>
      </c>
    </row>
    <row r="11" spans="1:9" x14ac:dyDescent="0.25">
      <c r="A11">
        <v>0.1</v>
      </c>
      <c r="B11" cm="1">
        <f t="array" ref="B11">(1*perfweight)/(0.5*linterp(10000,atmos_h,atmos_rho)*((A11*linterp(10000,atmos_h,atmos_aspeed))^2)*wingarea)</f>
        <v>2.3378494265185887</v>
      </c>
      <c r="C11">
        <f t="shared" si="0"/>
        <v>0.35886347634654425</v>
      </c>
      <c r="D11" cm="1">
        <f t="array" ref="D11">C11*(0.5*linterp(0,atmos_h,atmos_rho)*((A11*linterp(0,atmos_h,atmos_aspeed))^2)*wingarea)</f>
        <v>200.94506629926843</v>
      </c>
      <c r="E11">
        <f t="shared" si="1"/>
        <v>6.5145928204211954</v>
      </c>
      <c r="F11" cm="1">
        <f t="array" ref="F11">D11*1.3*(linterp(10000,atmos_h,atmos_aspeed)/linterp(0,atmos_h,atmos_aspeed))</f>
        <v>252.07999356594397</v>
      </c>
      <c r="G11">
        <f t="shared" si="2"/>
        <v>2.749835872347778</v>
      </c>
      <c r="H11">
        <f t="shared" si="3"/>
        <v>4.2606808893705033</v>
      </c>
      <c r="I11" cm="1">
        <f t="array" ref="I11">(2/(F11/D11))*SQRT(2/(linterp(10000,atmos_h,atmos_rho)*wingarea))*H11*(SQRT(900)-SQRT(900-370))</f>
        <v>260.28172267850931</v>
      </c>
    </row>
    <row r="12" spans="1:9" x14ac:dyDescent="0.25">
      <c r="A12">
        <v>0.11</v>
      </c>
      <c r="B12" cm="1">
        <f t="array" ref="B12">(1*perfweight)/(0.5*linterp(10000,atmos_h,atmos_rho)*((A12*linterp(10000,atmos_h,atmos_aspeed))^2)*wingarea)</f>
        <v>1.9321069640649493</v>
      </c>
      <c r="C12">
        <f t="shared" si="0"/>
        <v>0.2514483138764731</v>
      </c>
      <c r="D12" cm="1">
        <f t="array" ref="D12">C12*(0.5*linterp(0,atmos_h,atmos_rho)*((A12*linterp(0,atmos_h,atmos_aspeed))^2)*wingarea)</f>
        <v>170.36570934091043</v>
      </c>
      <c r="E12">
        <f t="shared" si="1"/>
        <v>7.6839129850523449</v>
      </c>
      <c r="F12" cm="1">
        <f t="array" ref="F12">D12*1.3*(linterp(10000,atmos_h,atmos_aspeed)/linterp(0,atmos_h,atmos_aspeed))</f>
        <v>213.71904125555793</v>
      </c>
      <c r="G12">
        <f t="shared" si="2"/>
        <v>3.2434106242314202</v>
      </c>
      <c r="H12">
        <f t="shared" si="3"/>
        <v>5.5279849907441889</v>
      </c>
      <c r="I12" cm="1">
        <f t="array" ref="I12">(2/(F12/D12))*SQRT(2/(linterp(10000,atmos_h,atmos_rho)*wingarea))*H12*(SQRT(900)-SQRT(900-370))</f>
        <v>337.70035674847787</v>
      </c>
    </row>
    <row r="13" spans="1:9" x14ac:dyDescent="0.25">
      <c r="A13">
        <v>0.12</v>
      </c>
      <c r="B13" cm="1">
        <f t="array" ref="B13">(1*perfweight)/(0.5*linterp(10000,atmos_h,atmos_rho)*((A13*linterp(10000,atmos_h,atmos_aspeed))^2)*wingarea)</f>
        <v>1.6235065461934646</v>
      </c>
      <c r="C13">
        <f t="shared" si="0"/>
        <v>0.183417957343048</v>
      </c>
      <c r="D13" cm="1">
        <f t="array" ref="D13">C13*(0.5*linterp(0,atmos_h,atmos_rho)*((A13*linterp(0,atmos_h,atmos_aspeed))^2)*wingarea)</f>
        <v>147.89463927218995</v>
      </c>
      <c r="E13">
        <f t="shared" si="1"/>
        <v>8.8514045718926422</v>
      </c>
      <c r="F13" cm="1">
        <f t="array" ref="F13">D13*1.3*(linterp(10000,atmos_h,atmos_aspeed)/linterp(0,atmos_h,atmos_aspeed))</f>
        <v>185.52970920245465</v>
      </c>
      <c r="G13">
        <f t="shared" si="2"/>
        <v>3.7362135260634508</v>
      </c>
      <c r="H13">
        <f t="shared" si="3"/>
        <v>6.9468059803212157</v>
      </c>
      <c r="I13" cm="1">
        <f t="array" ref="I13">(2/(F13/D13))*SQRT(2/(linterp(10000,atmos_h,atmos_rho)*wingarea))*H13*(SQRT(900)-SQRT(900-370))</f>
        <v>424.37504113069571</v>
      </c>
    </row>
    <row r="14" spans="1:9" x14ac:dyDescent="0.25">
      <c r="A14">
        <v>0.13</v>
      </c>
      <c r="B14" cm="1">
        <f t="array" ref="B14">(1*perfweight)/(0.5*linterp(10000,atmos_h,atmos_rho)*((A14*linterp(10000,atmos_h,atmos_aspeed))^2)*wingarea)</f>
        <v>1.3833428559281591</v>
      </c>
      <c r="C14">
        <f t="shared" si="0"/>
        <v>0.13864552233694347</v>
      </c>
      <c r="D14" cm="1">
        <f t="array" ref="D14">C14*(0.5*linterp(0,atmos_h,atmos_rho)*((A14*linterp(0,atmos_h,atmos_aspeed))^2)*wingarea)</f>
        <v>131.20205598886639</v>
      </c>
      <c r="E14">
        <f t="shared" si="1"/>
        <v>9.9775516194910949</v>
      </c>
      <c r="F14" cm="1">
        <f t="array" ref="F14">D14*1.3*(linterp(10000,atmos_h,atmos_aspeed)/linterp(0,atmos_h,atmos_aspeed))</f>
        <v>164.58932801194365</v>
      </c>
      <c r="G14">
        <f t="shared" si="2"/>
        <v>4.2115647313325706</v>
      </c>
      <c r="H14">
        <f t="shared" si="3"/>
        <v>8.4831875273921362</v>
      </c>
      <c r="I14" cm="1">
        <f t="array" ref="I14">(2/(F14/D14))*SQRT(2/(linterp(10000,atmos_h,atmos_rho)*wingarea))*H14*(SQRT(900)-SQRT(900-370))</f>
        <v>518.23140966576693</v>
      </c>
    </row>
    <row r="15" spans="1:9" x14ac:dyDescent="0.25">
      <c r="A15">
        <v>0.14000000000000001</v>
      </c>
      <c r="B15" cm="1">
        <f t="array" ref="B15">(1*perfweight)/(0.5*linterp(10000,atmos_h,atmos_rho)*((A15*linterp(10000,atmos_h,atmos_aspeed))^2)*wingarea)</f>
        <v>1.192780319652341</v>
      </c>
      <c r="C15">
        <f t="shared" si="0"/>
        <v>0.10820894323889634</v>
      </c>
      <c r="D15" cm="1">
        <f t="array" ref="D15">C15*(0.5*linterp(0,atmos_h,atmos_rho)*((A15*linterp(0,atmos_h,atmos_aspeed))^2)*wingarea)</f>
        <v>118.75921408769868</v>
      </c>
      <c r="E15">
        <f t="shared" si="1"/>
        <v>11.02293658869768</v>
      </c>
      <c r="F15" cm="1">
        <f t="array" ref="F15">D15*1.3*(linterp(10000,atmos_h,atmos_aspeed)/linterp(0,atmos_h,atmos_aspeed))</f>
        <v>148.98012911916231</v>
      </c>
      <c r="G15">
        <f t="shared" si="2"/>
        <v>4.6528259379771919</v>
      </c>
      <c r="H15">
        <f t="shared" si="3"/>
        <v>10.092925711240207</v>
      </c>
      <c r="I15" cm="1">
        <f t="array" ref="I15">(2/(F15/D15))*SQRT(2/(linterp(10000,atmos_h,atmos_rho)*wingarea))*H15*(SQRT(900)-SQRT(900-370))</f>
        <v>616.56907879246216</v>
      </c>
    </row>
    <row r="16" spans="1:9" x14ac:dyDescent="0.25">
      <c r="A16">
        <v>0.15</v>
      </c>
      <c r="B16" cm="1">
        <f t="array" ref="B16">(1*perfweight)/(0.5*linterp(10000,atmos_h,atmos_rho)*((A16*linterp(10000,atmos_h,atmos_aspeed))^2)*wingarea)</f>
        <v>1.0390441895638172</v>
      </c>
      <c r="C16">
        <f t="shared" si="0"/>
        <v>8.6935995327712443E-2</v>
      </c>
      <c r="D16" cm="1">
        <f t="array" ref="D16">C16*(0.5*linterp(0,atmos_h,atmos_rho)*((A16*linterp(0,atmos_h,atmos_aspeed))^2)*wingarea)</f>
        <v>109.52928095728916</v>
      </c>
      <c r="E16">
        <f t="shared" si="1"/>
        <v>11.951829453922439</v>
      </c>
      <c r="F16" cm="1">
        <f t="array" ref="F16">D16*1.3*(linterp(10000,atmos_h,atmos_aspeed)/linterp(0,atmos_h,atmos_aspeed))</f>
        <v>137.4014348671592</v>
      </c>
      <c r="G16">
        <f t="shared" si="2"/>
        <v>5.0449153582639088</v>
      </c>
      <c r="H16">
        <f t="shared" si="3"/>
        <v>11.72512221816431</v>
      </c>
      <c r="I16" cm="1">
        <f t="array" ref="I16">(2/(F16/D16))*SQRT(2/(linterp(10000,atmos_h,atmos_rho)*wingarea))*H16*(SQRT(900)-SQRT(900-370))</f>
        <v>716.27870962445297</v>
      </c>
    </row>
    <row r="17" spans="1:9" x14ac:dyDescent="0.25">
      <c r="A17">
        <v>0.16</v>
      </c>
      <c r="B17" cm="1">
        <f t="array" ref="B17">(1*perfweight)/(0.5*linterp(10000,atmos_h,atmos_rho)*((A17*linterp(10000,atmos_h,atmos_aspeed))^2)*wingarea)</f>
        <v>0.91322243223382349</v>
      </c>
      <c r="C17">
        <f t="shared" si="0"/>
        <v>7.1706463065573739E-2</v>
      </c>
      <c r="D17" cm="1">
        <f t="array" ref="D17">C17*(0.5*linterp(0,atmos_h,atmos_rho)*((A17*linterp(0,atmos_h,atmos_aspeed))^2)*wingarea)</f>
        <v>102.7889321895253</v>
      </c>
      <c r="E17">
        <f t="shared" si="1"/>
        <v>12.735566547170299</v>
      </c>
      <c r="F17" cm="1">
        <f t="array" ref="F17">D17*1.3*(linterp(10000,atmos_h,atmos_aspeed)/linterp(0,atmos_h,atmos_aspeed))</f>
        <v>128.94585491537455</v>
      </c>
      <c r="G17">
        <f t="shared" si="2"/>
        <v>5.3757339424656454</v>
      </c>
      <c r="H17">
        <f t="shared" si="3"/>
        <v>13.326925933480277</v>
      </c>
      <c r="I17" cm="1">
        <f t="array" ref="I17">(2/(F17/D17))*SQRT(2/(linterp(10000,atmos_h,atmos_rho)*wingarea))*H17*(SQRT(900)-SQRT(900-370))</f>
        <v>814.13166816340481</v>
      </c>
    </row>
    <row r="18" spans="1:9" x14ac:dyDescent="0.25">
      <c r="A18">
        <v>0.17</v>
      </c>
      <c r="B18" cm="1">
        <f t="array" ref="B18">(1*perfweight)/(0.5*linterp(10000,atmos_h,atmos_rho)*((A18*linterp(10000,atmos_h,atmos_aspeed))^2)*wingarea)</f>
        <v>0.80894443824172602</v>
      </c>
      <c r="C18">
        <f t="shared" si="0"/>
        <v>6.057224845805774E-2</v>
      </c>
      <c r="D18" cm="1">
        <f t="array" ref="D18">C18*(0.5*linterp(0,atmos_h,atmos_rho)*((A18*linterp(0,atmos_h,atmos_aspeed))^2)*wingarea)</f>
        <v>98.021112128665976</v>
      </c>
      <c r="E18">
        <f t="shared" si="1"/>
        <v>13.355034010366419</v>
      </c>
      <c r="F18" cm="1">
        <f t="array" ref="F18">D18*1.3*(linterp(10000,atmos_h,atmos_aspeed)/linterp(0,atmos_h,atmos_aspeed))</f>
        <v>122.96475733283901</v>
      </c>
      <c r="G18">
        <f t="shared" si="2"/>
        <v>5.6372136540923243</v>
      </c>
      <c r="H18">
        <f t="shared" si="3"/>
        <v>14.848604906056137</v>
      </c>
      <c r="I18" cm="1">
        <f t="array" ref="I18">(2/(F18/D18))*SQRT(2/(linterp(10000,atmos_h,atmos_rho)*wingarea))*H18*(SQRT(900)-SQRT(900-370))</f>
        <v>907.08986771639354</v>
      </c>
    </row>
    <row r="19" spans="1:9" x14ac:dyDescent="0.25">
      <c r="A19">
        <v>0.18</v>
      </c>
      <c r="B19" cm="1">
        <f t="array" ref="B19">(1*perfweight)/(0.5*linterp(10000,atmos_h,atmos_rho)*((A19*linterp(10000,atmos_h,atmos_aspeed))^2)*wingarea)</f>
        <v>0.72155846497487308</v>
      </c>
      <c r="C19">
        <f t="shared" si="0"/>
        <v>5.2280090339367508E-2</v>
      </c>
      <c r="D19" cm="1">
        <f t="array" ref="D19">C19*(0.5*linterp(0,atmos_h,atmos_rho)*((A19*linterp(0,atmos_h,atmos_aspeed))^2)*wingarea)</f>
        <v>94.848272934604609</v>
      </c>
      <c r="E19">
        <f t="shared" si="1"/>
        <v>13.801783055289238</v>
      </c>
      <c r="F19" cm="1">
        <f t="array" ref="F19">D19*1.3*(linterp(10000,atmos_h,atmos_aspeed)/linterp(0,atmos_h,atmos_aspeed))</f>
        <v>118.98451886092946</v>
      </c>
      <c r="G19">
        <f t="shared" si="2"/>
        <v>5.8257882256012241</v>
      </c>
      <c r="H19">
        <f t="shared" si="3"/>
        <v>16.24798216297296</v>
      </c>
      <c r="I19" cm="1">
        <f t="array" ref="I19">(2/(F19/D19))*SQRT(2/(linterp(10000,atmos_h,atmos_rho)*wingarea))*H19*(SQRT(900)-SQRT(900-370))</f>
        <v>992.57674940615368</v>
      </c>
    </row>
    <row r="20" spans="1:9" x14ac:dyDescent="0.25">
      <c r="A20">
        <v>0.19</v>
      </c>
      <c r="B20" cm="1">
        <f t="array" ref="B20">(1*perfweight)/(0.5*linterp(10000,atmos_h,atmos_rho)*((A20*linterp(10000,atmos_h,atmos_aspeed))^2)*wingarea)</f>
        <v>0.64760371925722682</v>
      </c>
      <c r="C20">
        <f t="shared" si="0"/>
        <v>4.6002215786139167E-2</v>
      </c>
      <c r="D20" cm="1">
        <f t="array" ref="D20">C20*(0.5*linterp(0,atmos_h,atmos_rho)*((A20*linterp(0,atmos_h,atmos_aspeed))^2)*wingarea)</f>
        <v>92.989527400659625</v>
      </c>
      <c r="E20">
        <f t="shared" si="1"/>
        <v>14.077663612289628</v>
      </c>
      <c r="F20" cm="1">
        <f t="array" ref="F20">D20*1.3*(linterp(10000,atmos_h,atmos_aspeed)/linterp(0,atmos_h,atmos_aspeed))</f>
        <v>116.65277431568263</v>
      </c>
      <c r="G20">
        <f t="shared" si="2"/>
        <v>5.9422385200455539</v>
      </c>
      <c r="H20">
        <f t="shared" si="3"/>
        <v>17.493468056900419</v>
      </c>
      <c r="I20" cm="1">
        <f t="array" ref="I20">(2/(F20/D20))*SQRT(2/(linterp(10000,atmos_h,atmos_rho)*wingarea))*H20*(SQRT(900)-SQRT(900-370))</f>
        <v>1068.6625259429452</v>
      </c>
    </row>
    <row r="21" spans="1:9" x14ac:dyDescent="0.25">
      <c r="A21">
        <v>0.2</v>
      </c>
      <c r="B21" cm="1">
        <f t="array" ref="B21">(1*perfweight)/(0.5*linterp(10000,atmos_h,atmos_rho)*((A21*linterp(10000,atmos_h,atmos_aspeed))^2)*wingarea)</f>
        <v>0.58446235662964718</v>
      </c>
      <c r="C21">
        <f t="shared" si="0"/>
        <v>4.1178967271659012E-2</v>
      </c>
      <c r="D21" cm="1">
        <f t="array" ref="D21">C21*(0.5*linterp(0,atmos_h,atmos_rho)*((A21*linterp(0,atmos_h,atmos_aspeed))^2)*wingarea)</f>
        <v>92.232404286785339</v>
      </c>
      <c r="E21">
        <f t="shared" si="1"/>
        <v>14.19322521553126</v>
      </c>
      <c r="F21" cm="1">
        <f t="array" ref="F21">D21*1.3*(linterp(10000,atmos_h,atmos_aspeed)/linterp(0,atmos_h,atmos_aspeed))</f>
        <v>115.70298443933</v>
      </c>
      <c r="G21">
        <f t="shared" si="2"/>
        <v>5.9910175382926694</v>
      </c>
      <c r="H21">
        <f t="shared" si="3"/>
        <v>18.565336346051406</v>
      </c>
      <c r="I21" cm="1">
        <f t="array" ref="I21">(2/(F21/D21))*SQRT(2/(linterp(10000,atmos_h,atmos_rho)*wingarea))*H21*(SQRT(900)-SQRT(900-370))</f>
        <v>1134.1421363687575</v>
      </c>
    </row>
    <row r="22" spans="1:9" x14ac:dyDescent="0.25">
      <c r="A22">
        <v>0.21</v>
      </c>
      <c r="B22" cm="1">
        <f t="array" ref="B22">(1*perfweight)/(0.5*linterp(10000,atmos_h,atmos_rho)*((A22*linterp(10000,atmos_h,atmos_aspeed))^2)*wingarea)</f>
        <v>0.53012458651215177</v>
      </c>
      <c r="C22">
        <f t="shared" si="0"/>
        <v>3.7423988787930157E-2</v>
      </c>
      <c r="D22" cm="1">
        <f t="array" ref="D22">C22*(0.5*linterp(0,atmos_h,atmos_rho)*((A22*linterp(0,atmos_h,atmos_aspeed))^2)*wingarea)</f>
        <v>92.413783627901324</v>
      </c>
      <c r="E22">
        <f t="shared" si="1"/>
        <v>14.16536835547379</v>
      </c>
      <c r="F22" cm="1">
        <f t="array" ref="F22">D22*1.3*(linterp(10000,atmos_h,atmos_aspeed)/linterp(0,atmos_h,atmos_aspeed))</f>
        <v>115.93051977514868</v>
      </c>
      <c r="G22">
        <f t="shared" si="2"/>
        <v>5.9792590454461356</v>
      </c>
      <c r="H22">
        <f t="shared" si="3"/>
        <v>19.455343319865886</v>
      </c>
      <c r="I22" cm="1">
        <f t="array" ref="I22">(2/(F22/D22))*SQRT(2/(linterp(10000,atmos_h,atmos_rho)*wingarea))*H22*(SQRT(900)-SQRT(900-370))</f>
        <v>1188.5119787379067</v>
      </c>
    </row>
    <row r="23" spans="1:9" x14ac:dyDescent="0.25">
      <c r="A23">
        <v>0.22</v>
      </c>
      <c r="B23" cm="1">
        <f t="array" ref="B23">(1*perfweight)/(0.5*linterp(10000,atmos_h,atmos_rho)*((A23*linterp(10000,atmos_h,atmos_aspeed))^2)*wingarea)</f>
        <v>0.48302674101623733</v>
      </c>
      <c r="C23">
        <f t="shared" si="0"/>
        <v>3.4465519617279568E-2</v>
      </c>
      <c r="D23" cm="1">
        <f t="array" ref="D23">C23*(0.5*linterp(0,atmos_h,atmos_rho)*((A23*linterp(0,atmos_h,atmos_aspeed))^2)*wingarea)</f>
        <v>93.406753966709175</v>
      </c>
      <c r="E23">
        <f t="shared" si="1"/>
        <v>14.014781914794284</v>
      </c>
      <c r="F23" cm="1">
        <f t="array" ref="F23">D23*1.3*(linterp(10000,atmos_h,atmos_aspeed)/linterp(0,atmos_h,atmos_aspeed))</f>
        <v>117.17617343178074</v>
      </c>
      <c r="G23">
        <f t="shared" si="2"/>
        <v>5.9156959022253295</v>
      </c>
      <c r="H23">
        <f t="shared" si="3"/>
        <v>20.165117492675027</v>
      </c>
      <c r="I23" cm="1">
        <f t="array" ref="I23">(2/(F23/D23))*SQRT(2/(linterp(10000,atmos_h,atmos_rho)*wingarea))*H23*(SQRT(900)-SQRT(900-370))</f>
        <v>1231.8715377399358</v>
      </c>
    </row>
    <row r="24" spans="1:9" x14ac:dyDescent="0.25">
      <c r="A24">
        <v>0.23</v>
      </c>
      <c r="B24" cm="1">
        <f t="array" ref="B24">(1*perfweight)/(0.5*linterp(10000,atmos_h,atmos_rho)*((A24*linterp(10000,atmos_h,atmos_aspeed))^2)*wingarea)</f>
        <v>0.44193750973886359</v>
      </c>
      <c r="C24">
        <f t="shared" si="0"/>
        <v>3.2109143275879666E-2</v>
      </c>
      <c r="D24" cm="1">
        <f t="array" ref="D24">C24*(0.5*linterp(0,atmos_h,atmos_rho)*((A24*linterp(0,atmos_h,atmos_aspeed))^2)*wingarea)</f>
        <v>95.111378866075782</v>
      </c>
      <c r="E24">
        <f t="shared" si="1"/>
        <v>13.76360328090243</v>
      </c>
      <c r="F24" cm="1">
        <f t="array" ref="F24">D24*1.3*(linterp(10000,atmos_h,atmos_aspeed)/linterp(0,atmos_h,atmos_aspeed))</f>
        <v>119.31457792997691</v>
      </c>
      <c r="G24">
        <f t="shared" si="2"/>
        <v>5.8096723890323005</v>
      </c>
      <c r="H24">
        <f t="shared" si="3"/>
        <v>20.703878675760638</v>
      </c>
      <c r="I24" cm="1">
        <f t="array" ref="I24">(2/(F24/D24))*SQRT(2/(linterp(10000,atmos_h,atmos_rho)*wingarea))*H24*(SQRT(900)-SQRT(900-370))</f>
        <v>1264.784044563828</v>
      </c>
    </row>
    <row r="25" spans="1:9" x14ac:dyDescent="0.25">
      <c r="A25">
        <v>0.24</v>
      </c>
      <c r="B25" cm="1">
        <f t="array" ref="B25">(1*perfweight)/(0.5*linterp(10000,atmos_h,atmos_rho)*((A25*linterp(10000,atmos_h,atmos_aspeed))^2)*wingarea)</f>
        <v>0.40587663654836614</v>
      </c>
      <c r="C25">
        <f t="shared" si="0"/>
        <v>3.0213622333940503E-2</v>
      </c>
      <c r="D25" cm="1">
        <f t="array" ref="D25">C25*(0.5*linterp(0,atmos_h,atmos_rho)*((A25*linterp(0,atmos_h,atmos_aspeed))^2)*wingarea)</f>
        <v>97.448098123281753</v>
      </c>
      <c r="E25">
        <f t="shared" si="1"/>
        <v>13.433564240075386</v>
      </c>
      <c r="F25" cm="1">
        <f t="array" ref="F25">D25*1.3*(linterp(10000,atmos_h,atmos_aspeed)/linterp(0,atmos_h,atmos_aspeed))</f>
        <v>122.24592720950905</v>
      </c>
      <c r="G25">
        <f t="shared" si="2"/>
        <v>5.6703615803971745</v>
      </c>
      <c r="H25">
        <f t="shared" si="3"/>
        <v>21.086001355382809</v>
      </c>
      <c r="I25" cm="1">
        <f t="array" ref="I25">(2/(F25/D25))*SQRT(2/(linterp(10000,atmos_h,atmos_rho)*wingarea))*H25*(SQRT(900)-SQRT(900-370))</f>
        <v>1288.1276255334135</v>
      </c>
    </row>
    <row r="26" spans="1:9" x14ac:dyDescent="0.25">
      <c r="A26">
        <v>0.25</v>
      </c>
      <c r="B26" cm="1">
        <f t="array" ref="B26">(1*perfweight)/(0.5*linterp(10000,atmos_h,atmos_rho)*((A26*linterp(10000,atmos_h,atmos_aspeed))^2)*wingarea)</f>
        <v>0.37405590824297413</v>
      </c>
      <c r="C26">
        <f t="shared" si="0"/>
        <v>2.8674904994471527E-2</v>
      </c>
      <c r="D26" cm="1">
        <f t="array" ref="D26">C26*(0.5*linterp(0,atmos_h,atmos_rho)*((A26*linterp(0,atmos_h,atmos_aspeed))^2)*wingarea)</f>
        <v>100.35293825211933</v>
      </c>
      <c r="E26">
        <f t="shared" si="1"/>
        <v>13.044713079784971</v>
      </c>
      <c r="F26" cm="1">
        <f t="array" ref="F26">D26*1.3*(linterp(10000,atmos_h,atmos_aspeed)/linterp(0,atmos_h,atmos_aspeed))</f>
        <v>125.88996831224965</v>
      </c>
      <c r="G26">
        <f t="shared" si="2"/>
        <v>5.5062259392226736</v>
      </c>
      <c r="H26">
        <f t="shared" si="3"/>
        <v>21.328792626968756</v>
      </c>
      <c r="I26" cm="1">
        <f t="array" ref="I26">(2/(F26/D26))*SQRT(2/(linterp(10000,atmos_h,atmos_rho)*wingarea))*H26*(SQRT(900)-SQRT(900-370))</f>
        <v>1302.959557813851</v>
      </c>
    </row>
    <row r="27" spans="1:9" x14ac:dyDescent="0.25">
      <c r="A27">
        <v>0.26</v>
      </c>
      <c r="B27" cm="1">
        <f t="array" ref="B27">(1*perfweight)/(0.5*linterp(10000,atmos_h,atmos_rho)*((A27*linterp(10000,atmos_h,atmos_aspeed))^2)*wingarea)</f>
        <v>0.34583571398203977</v>
      </c>
      <c r="C27">
        <f t="shared" si="0"/>
        <v>2.7415345146058968E-2</v>
      </c>
      <c r="D27" cm="1">
        <f t="array" ref="D27">C27*(0.5*linterp(0,atmos_h,atmos_rho)*((A27*linterp(0,atmos_h,atmos_aspeed))^2)*wingarea)</f>
        <v>103.77398673044294</v>
      </c>
      <c r="E27">
        <f t="shared" si="1"/>
        <v>12.614676639653929</v>
      </c>
      <c r="F27" cm="1">
        <f t="array" ref="F27">D27*1.3*(linterp(10000,atmos_h,atmos_aspeed)/linterp(0,atmos_h,atmos_aspeed))</f>
        <v>130.18157842384232</v>
      </c>
      <c r="G27">
        <f t="shared" si="2"/>
        <v>5.324705825520061</v>
      </c>
      <c r="H27">
        <f t="shared" si="3"/>
        <v>21.4506868243204</v>
      </c>
      <c r="I27" cm="1">
        <f t="array" ref="I27">(2/(F27/D27))*SQRT(2/(linterp(10000,atmos_h,atmos_rho)*wingarea))*H27*(SQRT(900)-SQRT(900-370))</f>
        <v>1310.4059806967171</v>
      </c>
    </row>
    <row r="28" spans="1:9" x14ac:dyDescent="0.25">
      <c r="A28">
        <v>0.27</v>
      </c>
      <c r="B28" cm="1">
        <f t="array" ref="B28">(1*perfweight)/(0.5*linterp(10000,atmos_h,atmos_rho)*((A28*linterp(10000,atmos_h,atmos_aspeed))^2)*wingarea)</f>
        <v>0.32069265109994349</v>
      </c>
      <c r="C28">
        <f t="shared" si="0"/>
        <v>2.6376314141109625E-2</v>
      </c>
      <c r="D28" cm="1">
        <f t="array" ref="D28">C28*(0.5*linterp(0,atmos_h,atmos_rho)*((A28*linterp(0,atmos_h,atmos_aspeed))^2)*wingarea)</f>
        <v>107.66876280160582</v>
      </c>
      <c r="E28">
        <f t="shared" si="1"/>
        <v>12.158357281623287</v>
      </c>
      <c r="F28" cm="1">
        <f t="array" ref="F28">D28*1.3*(linterp(10000,atmos_h,atmos_aspeed)/linterp(0,atmos_h,atmos_aspeed))</f>
        <v>135.06746661727195</v>
      </c>
      <c r="G28">
        <f t="shared" si="2"/>
        <v>5.1320915862960907</v>
      </c>
      <c r="H28">
        <f t="shared" si="3"/>
        <v>21.469918573364463</v>
      </c>
      <c r="I28" cm="1">
        <f t="array" ref="I28">(2/(F28/D28))*SQRT(2/(linterp(10000,atmos_h,atmos_rho)*wingarea))*H28*(SQRT(900)-SQRT(900-370))</f>
        <v>1311.5808334729011</v>
      </c>
    </row>
    <row r="29" spans="1:9" x14ac:dyDescent="0.25">
      <c r="A29">
        <v>0.28000000000000003</v>
      </c>
      <c r="B29" cm="1">
        <f t="array" ref="B29">(1*perfweight)/(0.5*linterp(10000,atmos_h,atmos_rho)*((A29*linterp(10000,atmos_h,atmos_aspeed))^2)*wingarea)</f>
        <v>0.29819507991308525</v>
      </c>
      <c r="C29">
        <f t="shared" si="0"/>
        <v>2.5513058952431021E-2</v>
      </c>
      <c r="D29" cm="1">
        <f t="array" ref="D29">C29*(0.5*linterp(0,atmos_h,atmos_rho)*((A29*linterp(0,atmos_h,atmos_aspeed))^2)*wingarea)</f>
        <v>112.00223343738243</v>
      </c>
      <c r="E29">
        <f t="shared" si="1"/>
        <v>11.687939124393848</v>
      </c>
      <c r="F29" cm="1">
        <f t="array" ref="F29">D29*1.3*(linterp(10000,atmos_h,atmos_aspeed)/linterp(0,atmos_h,atmos_aspeed))</f>
        <v>140.50368493356487</v>
      </c>
      <c r="G29">
        <f t="shared" si="2"/>
        <v>4.9335261871358691</v>
      </c>
      <c r="H29">
        <f t="shared" si="3"/>
        <v>21.40364327614121</v>
      </c>
      <c r="I29" cm="1">
        <f t="array" ref="I29">(2/(F29/D29))*SQRT(2/(linterp(10000,atmos_h,atmos_rho)*wingarea))*H29*(SQRT(900)-SQRT(900-370))</f>
        <v>1307.5321264750746</v>
      </c>
    </row>
    <row r="30" spans="1:9" x14ac:dyDescent="0.25">
      <c r="A30">
        <v>0.28999999999999998</v>
      </c>
      <c r="B30" cm="1">
        <f t="array" ref="B30">(1*perfweight)/(0.5*linterp(10000,atmos_h,atmos_rho)*((A30*linterp(10000,atmos_h,atmos_aspeed))^2)*wingarea)</f>
        <v>0.27798447402123533</v>
      </c>
      <c r="C30">
        <f t="shared" si="0"/>
        <v>2.4791072803405499E-2</v>
      </c>
      <c r="D30" cm="1">
        <f t="array" ref="D30">C30*(0.5*linterp(0,atmos_h,atmos_rho)*((A30*linterp(0,atmos_h,atmos_aspeed))^2)*wingarea)</f>
        <v>116.74529967867296</v>
      </c>
      <c r="E30">
        <f t="shared" si="1"/>
        <v>11.213087720150988</v>
      </c>
      <c r="F30" cm="1">
        <f t="array" ref="F30">D30*1.3*(linterp(10000,atmos_h,atmos_aspeed)/linterp(0,atmos_h,atmos_aspeed))</f>
        <v>146.45372953832614</v>
      </c>
      <c r="G30">
        <f t="shared" si="2"/>
        <v>4.7330894965527568</v>
      </c>
      <c r="H30">
        <f t="shared" si="3"/>
        <v>21.267426935714631</v>
      </c>
      <c r="I30" cm="1">
        <f t="array" ref="I30">(2/(F30/D30))*SQRT(2/(linterp(10000,atmos_h,atmos_rho)*wingarea))*H30*(SQRT(900)-SQRT(900-370))</f>
        <v>1299.2107748733522</v>
      </c>
    </row>
    <row r="31" spans="1:9" x14ac:dyDescent="0.25">
      <c r="A31">
        <v>0.3</v>
      </c>
      <c r="B31" cm="1">
        <f t="array" ref="B31">(1*perfweight)/(0.5*linterp(10000,atmos_h,atmos_rho)*((A31*linterp(10000,atmos_h,atmos_aspeed))^2)*wingarea)</f>
        <v>0.25976104739095429</v>
      </c>
      <c r="C31">
        <f t="shared" si="0"/>
        <v>2.4183499707982028E-2</v>
      </c>
      <c r="D31" cm="1">
        <f t="array" ref="D31">C31*(0.5*linterp(0,atmos_h,atmos_rho)*((A31*linterp(0,atmos_h,atmos_aspeed))^2)*wingarea)</f>
        <v>121.8736300912508</v>
      </c>
      <c r="E31">
        <f t="shared" si="1"/>
        <v>10.741251288175521</v>
      </c>
      <c r="F31" cm="1">
        <f t="array" ref="F31">D31*1.3*(linterp(10000,atmos_h,atmos_aspeed)/linterp(0,atmos_h,atmos_aspeed))</f>
        <v>152.88707732443882</v>
      </c>
      <c r="G31">
        <f t="shared" si="2"/>
        <v>4.5339254379089748</v>
      </c>
      <c r="H31">
        <f t="shared" si="3"/>
        <v>21.075013597778554</v>
      </c>
      <c r="I31" cm="1">
        <f t="array" ref="I31">(2/(F31/D31))*SQRT(2/(linterp(10000,atmos_h,atmos_rho)*wingarea))*H31*(SQRT(900)-SQRT(900-370))</f>
        <v>1287.4563918616443</v>
      </c>
    </row>
    <row r="32" spans="1:9" x14ac:dyDescent="0.25">
      <c r="A32">
        <v>0.31</v>
      </c>
      <c r="B32" cm="1">
        <f t="array" ref="B32">(1*perfweight)/(0.5*linterp(10000,atmos_h,atmos_rho)*((A32*linterp(10000,atmos_h,atmos_aspeed))^2)*wingarea)</f>
        <v>0.24327257299881255</v>
      </c>
      <c r="C32">
        <f t="shared" si="0"/>
        <v>2.3669255775954679E-2</v>
      </c>
      <c r="D32" cm="1">
        <f t="array" ref="D32">C32*(0.5*linterp(0,atmos_h,atmos_rho)*((A32*linterp(0,atmos_h,atmos_aspeed))^2)*wingarea)</f>
        <v>127.366753257017</v>
      </c>
      <c r="E32">
        <f t="shared" si="1"/>
        <v>10.277998400184188</v>
      </c>
      <c r="F32" cm="1">
        <f t="array" ref="F32">D32*1.3*(linterp(10000,atmos_h,atmos_aspeed)/linterp(0,atmos_h,atmos_aspeed))</f>
        <v>159.77804746759736</v>
      </c>
      <c r="G32">
        <f t="shared" si="2"/>
        <v>4.3383845277581372</v>
      </c>
      <c r="H32">
        <f t="shared" si="3"/>
        <v>20.838284904753827</v>
      </c>
      <c r="I32" cm="1">
        <f t="array" ref="I32">(2/(F32/D32))*SQRT(2/(linterp(10000,atmos_h,atmos_rho)*wingarea))*H32*(SQRT(900)-SQRT(900-370))</f>
        <v>1272.9948178485267</v>
      </c>
    </row>
    <row r="33" spans="1:9" x14ac:dyDescent="0.25">
      <c r="A33">
        <v>0.32</v>
      </c>
      <c r="B33" cm="1">
        <f t="array" ref="B33">(1*perfweight)/(0.5*linterp(10000,atmos_h,atmos_rho)*((A33*linterp(10000,atmos_h,atmos_aspeed))^2)*wingarea)</f>
        <v>0.22830560805845587</v>
      </c>
      <c r="C33">
        <f t="shared" si="0"/>
        <v>2.323165394159836E-2</v>
      </c>
      <c r="D33" cm="1">
        <f t="array" ref="D33">C33*(0.5*linterp(0,atmos_h,atmos_rho)*((A33*linterp(0,atmos_h,atmos_aspeed))^2)*wingarea)</f>
        <v>133.20734559002003</v>
      </c>
      <c r="E33">
        <f t="shared" si="1"/>
        <v>9.8273505895184758</v>
      </c>
      <c r="F33" cm="1">
        <f t="array" ref="F33">D33*1.3*(linterp(10000,atmos_h,atmos_aspeed)/linterp(0,atmos_h,atmos_aspeed))</f>
        <v>167.10490801132434</v>
      </c>
      <c r="G33">
        <f t="shared" si="2"/>
        <v>4.1481642715236973</v>
      </c>
      <c r="H33">
        <f t="shared" si="3"/>
        <v>20.567341538167565</v>
      </c>
      <c r="I33" cm="1">
        <f t="array" ref="I33">(2/(F33/D33))*SQRT(2/(linterp(10000,atmos_h,atmos_rho)*wingarea))*H33*(SQRT(900)-SQRT(900-370))</f>
        <v>1256.4430957096254</v>
      </c>
    </row>
    <row r="34" spans="1:9" x14ac:dyDescent="0.25">
      <c r="A34">
        <v>0.33</v>
      </c>
      <c r="B34" cm="1">
        <f t="array" ref="B34">(1*perfweight)/(0.5*linterp(10000,atmos_h,atmos_rho)*((A34*linterp(10000,atmos_h,atmos_aspeed))^2)*wingarea)</f>
        <v>0.21467855156277213</v>
      </c>
      <c r="C34">
        <f t="shared" si="0"/>
        <v>2.285738659106757E-2</v>
      </c>
      <c r="D34" cm="1">
        <f t="array" ref="D34">C34*(0.5*linterp(0,atmos_h,atmos_rho)*((A34*linterp(0,atmos_h,atmos_aspeed))^2)*wingarea)</f>
        <v>139.38066786805749</v>
      </c>
      <c r="E34">
        <f t="shared" si="1"/>
        <v>9.3920864796794525</v>
      </c>
      <c r="F34" cm="1">
        <f t="array" ref="F34">D34*1.3*(linterp(10000,atmos_h,atmos_aspeed)/linterp(0,atmos_h,atmos_aspeed))</f>
        <v>174.849169011545</v>
      </c>
      <c r="G34">
        <f t="shared" si="2"/>
        <v>3.964437537378632</v>
      </c>
      <c r="H34">
        <f t="shared" si="3"/>
        <v>20.270653712153827</v>
      </c>
      <c r="I34" cm="1">
        <f t="array" ref="I34">(2/(F34/D34))*SQRT(2/(linterp(10000,atmos_h,atmos_rho)*wingarea))*H34*(SQRT(900)-SQRT(900-370))</f>
        <v>1238.3186643199733</v>
      </c>
    </row>
    <row r="35" spans="1:9" x14ac:dyDescent="0.25">
      <c r="A35">
        <v>0.34</v>
      </c>
      <c r="B35" cm="1">
        <f t="array" ref="B35">(1*perfweight)/(0.5*linterp(10000,atmos_h,atmos_rho)*((A35*linterp(10000,atmos_h,atmos_aspeed))^2)*wingarea)</f>
        <v>0.2022361095604315</v>
      </c>
      <c r="C35">
        <f t="shared" si="0"/>
        <v>2.2535765528628609E-2</v>
      </c>
      <c r="D35" cm="1">
        <f t="array" ref="D35">C35*(0.5*linterp(0,atmos_h,atmos_rho)*((A35*linterp(0,atmos_h,atmos_aspeed))^2)*wingarea)</f>
        <v>145.87411601975469</v>
      </c>
      <c r="E35">
        <f t="shared" si="1"/>
        <v>8.9740066430633636</v>
      </c>
      <c r="F35" cm="1">
        <f t="array" ref="F35">D35*1.3*(linterp(10000,atmos_h,atmos_aspeed)/linterp(0,atmos_h,atmos_aspeed))</f>
        <v>182.99501901147895</v>
      </c>
      <c r="G35">
        <f t="shared" si="2"/>
        <v>3.7879643541846764</v>
      </c>
      <c r="H35">
        <f t="shared" si="3"/>
        <v>19.95524368769691</v>
      </c>
      <c r="I35" cm="1">
        <f t="array" ref="I35">(2/(F35/D35))*SQRT(2/(linterp(10000,atmos_h,atmos_rho)*wingarea))*H35*(SQRT(900)-SQRT(900-370))</f>
        <v>1219.050508208933</v>
      </c>
    </row>
    <row r="36" spans="1:9" x14ac:dyDescent="0.25">
      <c r="A36">
        <v>0.35</v>
      </c>
      <c r="B36" cm="1">
        <f t="array" ref="B36">(1*perfweight)/(0.5*linterp(10000,atmos_h,atmos_rho)*((A36*linterp(10000,atmos_h,atmos_aspeed))^2)*wingarea)</f>
        <v>0.19084485114437458</v>
      </c>
      <c r="C36">
        <f t="shared" si="0"/>
        <v>2.2258148946915746E-2</v>
      </c>
      <c r="D36" cm="1">
        <f t="array" ref="D36">C36*(0.5*linterp(0,atmos_h,atmos_rho)*((A36*linterp(0,atmos_h,atmos_aspeed))^2)*wingarea)</f>
        <v>152.67686043673513</v>
      </c>
      <c r="E36">
        <f t="shared" si="1"/>
        <v>8.574156440390766</v>
      </c>
      <c r="F36" cm="1">
        <f t="array" ref="F36">D36*1.3*(linterp(10000,atmos_h,atmos_aspeed)/linterp(0,atmos_h,atmos_aspeed))</f>
        <v>191.52887256879532</v>
      </c>
      <c r="G36">
        <f t="shared" si="2"/>
        <v>3.6191859729130211</v>
      </c>
      <c r="H36">
        <f t="shared" si="3"/>
        <v>19.626876035499343</v>
      </c>
      <c r="I36" cm="1">
        <f t="array" ref="I36">(2/(F36/D36))*SQRT(2/(linterp(10000,atmos_h,atmos_rho)*wingarea))*H36*(SQRT(900)-SQRT(900-370))</f>
        <v>1198.9907805726521</v>
      </c>
    </row>
    <row r="37" spans="1:9" x14ac:dyDescent="0.25">
      <c r="A37">
        <v>0.36</v>
      </c>
      <c r="B37" cm="1">
        <f t="array" ref="B37">(1*perfweight)/(0.5*linterp(10000,atmos_h,atmos_rho)*((A37*linterp(10000,atmos_h,atmos_aspeed))^2)*wingarea)</f>
        <v>0.18038961624371827</v>
      </c>
      <c r="C37">
        <f t="shared" si="0"/>
        <v>2.201750564621047E-2</v>
      </c>
      <c r="D37" cm="1">
        <f t="array" ref="D37">C37*(0.5*linterp(0,atmos_h,atmos_rho)*((A37*linterp(0,atmos_h,atmos_aspeed))^2)*wingarea)</f>
        <v>159.77955442042824</v>
      </c>
      <c r="E37">
        <f t="shared" si="1"/>
        <v>8.193008742330715</v>
      </c>
      <c r="F37" cm="1">
        <f t="array" ref="F37">D37*1.3*(linterp(10000,atmos_h,atmos_aspeed)/linterp(0,atmos_h,atmos_aspeed))</f>
        <v>200.43900451024697</v>
      </c>
      <c r="G37">
        <f t="shared" si="2"/>
        <v>3.4583019941779471</v>
      </c>
      <c r="H37">
        <f t="shared" si="3"/>
        <v>19.290240887456296</v>
      </c>
      <c r="I37" cm="1">
        <f t="array" ref="I37">(2/(F37/D37))*SQRT(2/(linterp(10000,atmos_h,atmos_rho)*wingarea))*H37*(SQRT(900)-SQRT(900-370))</f>
        <v>1178.4259979658686</v>
      </c>
    </row>
    <row r="38" spans="1:9" x14ac:dyDescent="0.25">
      <c r="A38">
        <v>0.37</v>
      </c>
      <c r="B38" cm="1">
        <f t="array" ref="B38">(1*perfweight)/(0.5*linterp(10000,atmos_h,atmos_rho)*((A38*linterp(10000,atmos_h,atmos_aspeed))^2)*wingarea)</f>
        <v>0.17077059360983118</v>
      </c>
      <c r="C38">
        <f t="shared" si="0"/>
        <v>2.1808080929794957E-2</v>
      </c>
      <c r="D38" cm="1">
        <f t="array" ref="D38">C38*(0.5*linterp(0,atmos_h,atmos_rho)*((A38*linterp(0,atmos_h,atmos_aspeed))^2)*wingarea)</f>
        <v>167.17409702362403</v>
      </c>
      <c r="E38">
        <f t="shared" si="1"/>
        <v>7.830610779535327</v>
      </c>
      <c r="F38" cm="1">
        <f t="array" ref="F38">D38*1.3*(linterp(10000,atmos_h,atmos_aspeed)/linterp(0,atmos_h,atmos_aspeed))</f>
        <v>209.71525242300041</v>
      </c>
      <c r="G38">
        <f t="shared" si="2"/>
        <v>3.305332354227974</v>
      </c>
      <c r="H38">
        <f t="shared" si="3"/>
        <v>18.949122085536356</v>
      </c>
      <c r="I38" cm="1">
        <f t="array" ref="I38">(2/(F38/D38))*SQRT(2/(linterp(10000,atmos_h,atmos_rho)*wingarea))*H38*(SQRT(900)-SQRT(900-370))</f>
        <v>1157.5873123878771</v>
      </c>
    </row>
    <row r="39" spans="1:9" x14ac:dyDescent="0.25">
      <c r="A39">
        <v>0.38</v>
      </c>
      <c r="B39" cm="1">
        <f t="array" ref="B39">(1*perfweight)/(0.5*linterp(10000,atmos_h,atmos_rho)*((A39*linterp(10000,atmos_h,atmos_aspeed))^2)*wingarea)</f>
        <v>0.1619009298143067</v>
      </c>
      <c r="C39">
        <f t="shared" si="0"/>
        <v>2.1625138486633697E-2</v>
      </c>
      <c r="D39" cm="1">
        <f t="array" ref="D39">C39*(0.5*linterp(0,atmos_h,atmos_rho)*((A39*linterp(0,atmos_h,atmos_aspeed))^2)*wingarea)</f>
        <v>174.85343899037028</v>
      </c>
      <c r="E39">
        <f t="shared" si="1"/>
        <v>7.4867002546307946</v>
      </c>
      <c r="F39" cm="1">
        <f t="array" ref="F39">D39*1.3*(linterp(10000,atmos_h,atmos_aspeed)/linterp(0,atmos_h,atmos_aspeed))</f>
        <v>219.34877321163759</v>
      </c>
      <c r="G39">
        <f t="shared" si="2"/>
        <v>3.1601663362849988</v>
      </c>
      <c r="H39">
        <f t="shared" si="3"/>
        <v>18.606546563825873</v>
      </c>
      <c r="I39" cm="1">
        <f t="array" ref="I39">(2/(F39/D39))*SQRT(2/(linterp(10000,atmos_h,atmos_rho)*wingarea))*H39*(SQRT(900)-SQRT(900-370))</f>
        <v>1136.6596369168635</v>
      </c>
    </row>
    <row r="40" spans="1:9" x14ac:dyDescent="0.25">
      <c r="A40">
        <v>0.39</v>
      </c>
      <c r="B40" cm="1">
        <f t="array" ref="B40">(1*perfweight)/(0.5*linterp(10000,atmos_h,atmos_rho)*((A40*linterp(10000,atmos_h,atmos_aspeed))^2)*wingarea)</f>
        <v>0.15370476176979544</v>
      </c>
      <c r="C40">
        <f t="shared" si="0"/>
        <v>2.1464759535023994E-2</v>
      </c>
      <c r="D40" cm="1">
        <f t="array" ref="D40">C40*(0.5*linterp(0,atmos_h,atmos_rho)*((A40*linterp(0,atmos_h,atmos_aspeed))^2)*wingarea)</f>
        <v>182.81142307011424</v>
      </c>
      <c r="E40">
        <f t="shared" si="1"/>
        <v>7.160795885879633</v>
      </c>
      <c r="F40" cm="1">
        <f t="array" ref="F40">D40*1.3*(linterp(10000,atmos_h,atmos_aspeed)/linterp(0,atmos_h,atmos_aspeed))</f>
        <v>229.33184277669039</v>
      </c>
      <c r="G40">
        <f t="shared" si="2"/>
        <v>3.0226007893888753</v>
      </c>
      <c r="H40">
        <f t="shared" si="3"/>
        <v>18.26491407770639</v>
      </c>
      <c r="I40" cm="1">
        <f t="array" ref="I40">(2/(F40/D40))*SQRT(2/(linterp(10000,atmos_h,atmos_rho)*wingarea))*H40*(SQRT(900)-SQRT(900-370))</f>
        <v>1115.7895707657094</v>
      </c>
    </row>
    <row r="41" spans="1:9" x14ac:dyDescent="0.25">
      <c r="A41">
        <v>0.4</v>
      </c>
      <c r="B41" cm="1">
        <f t="array" ref="B41">(1*perfweight)/(0.5*linterp(10000,atmos_h,atmos_rho)*((A41*linterp(10000,atmos_h,atmos_aspeed))^2)*wingarea)</f>
        <v>0.1461155891574118</v>
      </c>
      <c r="C41">
        <f t="shared" si="0"/>
        <v>2.1323685454478689E-2</v>
      </c>
      <c r="D41" cm="1">
        <f t="array" ref="D41">C41*(0.5*linterp(0,atmos_h,atmos_rho)*((A41*linterp(0,atmos_h,atmos_aspeed))^2)*wingarea)</f>
        <v>191.04265191956932</v>
      </c>
      <c r="E41">
        <f t="shared" si="1"/>
        <v>6.8522671406561484</v>
      </c>
      <c r="F41" cm="1">
        <f t="array" ref="F41">D41*1.3*(linterp(10000,atmos_h,atmos_aspeed)/linterp(0,atmos_h,atmos_aspeed))</f>
        <v>239.65769030120859</v>
      </c>
      <c r="G41">
        <f t="shared" si="2"/>
        <v>2.8923695631783115</v>
      </c>
      <c r="H41">
        <f t="shared" si="3"/>
        <v>17.926108022307687</v>
      </c>
      <c r="I41" cm="1">
        <f t="array" ref="I41">(2/(F41/D41))*SQRT(2/(linterp(10000,atmos_h,atmos_rho)*wingarea))*H41*(SQRT(900)-SQRT(900-370))</f>
        <v>1095.0921690961579</v>
      </c>
    </row>
    <row r="42" spans="1:9" x14ac:dyDescent="0.25">
      <c r="A42">
        <v>0.41</v>
      </c>
      <c r="B42" cm="1">
        <f t="array" ref="B42">(1*perfweight)/(0.5*linterp(10000,atmos_h,atmos_rho)*((A42*linterp(10000,atmos_h,atmos_aspeed))^2)*wingarea)</f>
        <v>0.13907492126820872</v>
      </c>
      <c r="C42">
        <f t="shared" si="0"/>
        <v>2.1199193690997025E-2</v>
      </c>
      <c r="D42" cm="1">
        <f t="array" ref="D42">C42*(0.5*linterp(0,atmos_h,atmos_rho)*((A42*linterp(0,atmos_h,atmos_aspeed))^2)*wingarea)</f>
        <v>199.54237827675902</v>
      </c>
      <c r="E42">
        <f t="shared" si="1"/>
        <v>6.5603873097905474</v>
      </c>
      <c r="F42" cm="1">
        <f t="array" ref="F42">D42*1.3*(linterp(10000,atmos_h,atmos_aspeed)/linterp(0,atmos_h,atmos_aspeed))</f>
        <v>250.3203604771544</v>
      </c>
      <c r="G42">
        <f t="shared" si="2"/>
        <v>2.7691659107853233</v>
      </c>
      <c r="H42">
        <f t="shared" si="3"/>
        <v>17.59158894402448</v>
      </c>
      <c r="I42" cm="1">
        <f t="array" ref="I42">(2/(F42/D42))*SQRT(2/(linterp(10000,atmos_h,atmos_rho)*wingarea))*H42*(SQRT(900)-SQRT(900-370))</f>
        <v>1074.6566555655388</v>
      </c>
    </row>
    <row r="43" spans="1:9" x14ac:dyDescent="0.25">
      <c r="A43">
        <v>0.42</v>
      </c>
      <c r="B43" cm="1">
        <f t="array" ref="B43">(1*perfweight)/(0.5*linterp(10000,atmos_h,atmos_rho)*((A43*linterp(10000,atmos_h,atmos_aspeed))^2)*wingarea)</f>
        <v>0.13253114662803794</v>
      </c>
      <c r="C43">
        <f t="shared" si="0"/>
        <v>2.1088999299245636E-2</v>
      </c>
      <c r="D43" cm="1">
        <f t="array" ref="D43">C43*(0.5*linterp(0,atmos_h,atmos_rho)*((A43*linterp(0,atmos_h,atmos_aspeed))^2)*wingarea)</f>
        <v>208.30641321675529</v>
      </c>
      <c r="E43">
        <f t="shared" si="1"/>
        <v>6.2843734189311986</v>
      </c>
      <c r="F43" cm="1">
        <f t="array" ref="F43">D43*1.3*(linterp(10000,atmos_h,atmos_aspeed)/linterp(0,atmos_h,atmos_aspeed))</f>
        <v>261.31459841477931</v>
      </c>
      <c r="G43">
        <f t="shared" si="2"/>
        <v>2.6526593355820163</v>
      </c>
      <c r="H43">
        <f t="shared" si="3"/>
        <v>17.262472721833632</v>
      </c>
      <c r="I43" cm="1">
        <f t="array" ref="I43">(2/(F43/D43))*SQRT(2/(linterp(10000,atmos_h,atmos_rho)*wingarea))*H43*(SQRT(900)-SQRT(900-370))</f>
        <v>1054.5511983633839</v>
      </c>
    </row>
    <row r="44" spans="1:9" x14ac:dyDescent="0.25">
      <c r="A44">
        <v>0.43</v>
      </c>
      <c r="B44" cm="1">
        <f t="array" ref="B44">(1*perfweight)/(0.5*linterp(10000,atmos_h,atmos_rho)*((A44*linterp(10000,atmos_h,atmos_aspeed))^2)*wingarea)</f>
        <v>0.12643858445205999</v>
      </c>
      <c r="C44">
        <f t="shared" si="0"/>
        <v>2.0991176369570923E-2</v>
      </c>
      <c r="D44" cm="1">
        <f t="array" ref="D44">C44*(0.5*linterp(0,atmos_h,atmos_rho)*((A44*linterp(0,atmos_h,atmos_aspeed))^2)*wingarea)</f>
        <v>217.33104916519574</v>
      </c>
      <c r="E44">
        <f t="shared" si="1"/>
        <v>6.0234158498780932</v>
      </c>
      <c r="F44" cm="1">
        <f t="array" ref="F44">D44*1.3*(linterp(10000,atmos_h,atmos_aspeed)/linterp(0,atmos_h,atmos_aspeed))</f>
        <v>272.63575306522387</v>
      </c>
      <c r="G44">
        <f t="shared" si="2"/>
        <v>2.54250809446477</v>
      </c>
      <c r="H44">
        <f t="shared" si="3"/>
        <v>16.93959547178347</v>
      </c>
      <c r="I44" cm="1">
        <f t="array" ref="I44">(2/(F44/D44))*SQRT(2/(linterp(10000,atmos_h,atmos_rho)*wingarea))*H44*(SQRT(900)-SQRT(900-370))</f>
        <v>1034.8268751768212</v>
      </c>
    </row>
    <row r="45" spans="1:9" x14ac:dyDescent="0.25">
      <c r="A45">
        <v>0.44</v>
      </c>
      <c r="B45" cm="1">
        <f t="array" ref="B45">(1*perfweight)/(0.5*linterp(10000,atmos_h,atmos_rho)*((A45*linterp(10000,atmos_h,atmos_aspeed))^2)*wingarea)</f>
        <v>0.12075668525405933</v>
      </c>
      <c r="C45">
        <f t="shared" si="0"/>
        <v>2.0904094976079972E-2</v>
      </c>
      <c r="D45" cm="1">
        <f t="array" ref="D45">C45*(0.5*linterp(0,atmos_h,atmos_rho)*((A45*linterp(0,atmos_h,atmos_aspeed))^2)*wingarea)</f>
        <v>226.61299501760357</v>
      </c>
      <c r="E45">
        <f t="shared" si="1"/>
        <v>5.7766999907069962</v>
      </c>
      <c r="F45" cm="1">
        <f t="array" ref="F45">D45*1.3*(linterp(10000,atmos_h,atmos_aspeed)/linterp(0,atmos_h,atmos_aspeed))</f>
        <v>284.27969582951022</v>
      </c>
      <c r="G45">
        <f t="shared" si="2"/>
        <v>2.4383683364588467</v>
      </c>
      <c r="H45">
        <f t="shared" si="3"/>
        <v>16.623567136578046</v>
      </c>
      <c r="I45" cm="1">
        <f t="array" ref="I45">(2/(F45/D45))*SQRT(2/(linterp(10000,atmos_h,atmos_rho)*wingarea))*H45*(SQRT(900)-SQRT(900-370))</f>
        <v>1015.5209469371115</v>
      </c>
    </row>
    <row r="46" spans="1:9" x14ac:dyDescent="0.25">
      <c r="A46">
        <v>0.45</v>
      </c>
      <c r="B46" cm="1">
        <f t="array" ref="B46">(1*perfweight)/(0.5*linterp(10000,atmos_h,atmos_rho)*((A46*linterp(10000,atmos_h,atmos_aspeed))^2)*wingarea)</f>
        <v>0.11544935439597968</v>
      </c>
      <c r="C46">
        <f t="shared" si="0"/>
        <v>2.082637031268781E-2</v>
      </c>
      <c r="D46" cm="1">
        <f t="array" ref="D46">C46*(0.5*linterp(0,atmos_h,atmos_rho)*((A46*linterp(0,atmos_h,atmos_aspeed))^2)*wingarea)</f>
        <v>236.14932123686276</v>
      </c>
      <c r="E46">
        <f t="shared" si="1"/>
        <v>5.5434217610951535</v>
      </c>
      <c r="F46" cm="1">
        <f t="array" ref="F46">D46*1.3*(linterp(10000,atmos_h,atmos_aspeed)/linterp(0,atmos_h,atmos_aspeed))</f>
        <v>296.24275168485246</v>
      </c>
      <c r="G46">
        <f t="shared" si="2"/>
        <v>2.339900656020923</v>
      </c>
      <c r="H46">
        <f t="shared" si="3"/>
        <v>16.314815545081515</v>
      </c>
      <c r="I46" cm="1">
        <f t="array" ref="I46">(2/(F46/D46))*SQRT(2/(linterp(10000,atmos_h,atmos_rho)*wingarea))*H46*(SQRT(900)-SQRT(900-370))</f>
        <v>996.65954938092841</v>
      </c>
    </row>
    <row r="47" spans="1:9" x14ac:dyDescent="0.25">
      <c r="A47">
        <v>0.46</v>
      </c>
      <c r="B47" cm="1">
        <f t="array" ref="B47">(1*perfweight)/(0.5*linterp(10000,atmos_h,atmos_rho)*((A47*linterp(10000,atmos_h,atmos_aspeed))^2)*wingarea)</f>
        <v>0.1104843774347159</v>
      </c>
      <c r="C47">
        <f t="shared" si="0"/>
        <v>2.0756821454742478E-2</v>
      </c>
      <c r="D47" cm="1">
        <f t="array" ref="D47">C47*(0.5*linterp(0,atmos_h,atmos_rho)*((A47*linterp(0,atmos_h,atmos_aspeed))^2)*wingarea)</f>
        <v>245.9374132128309</v>
      </c>
      <c r="E47">
        <f t="shared" si="1"/>
        <v>5.32279846775252</v>
      </c>
      <c r="F47" cm="1">
        <f t="array" ref="F47">D47*1.3*(linterp(10000,atmos_h,atmos_aspeed)/linterp(0,atmos_h,atmos_aspeed))</f>
        <v>308.52164067558903</v>
      </c>
      <c r="G47">
        <f t="shared" si="2"/>
        <v>2.2467746751603332</v>
      </c>
      <c r="H47">
        <f t="shared" si="3"/>
        <v>16.013622514793553</v>
      </c>
      <c r="I47" cm="1">
        <f t="array" ref="I47">(2/(F47/D47))*SQRT(2/(linterp(10000,atmos_h,atmos_rho)*wingarea))*H47*(SQRT(900)-SQRT(900-370))</f>
        <v>978.25989852284863</v>
      </c>
    </row>
    <row r="48" spans="1:9" x14ac:dyDescent="0.25">
      <c r="A48">
        <v>0.47</v>
      </c>
      <c r="B48" cm="1">
        <f t="array" ref="B48">(1*perfweight)/(0.5*linterp(10000,atmos_h,atmos_rho)*((A48*linterp(10000,atmos_h,atmos_aspeed))^2)*wingarea)</f>
        <v>0.10583293012759569</v>
      </c>
      <c r="C48">
        <f t="shared" si="0"/>
        <v>2.0694437764162337E-2</v>
      </c>
      <c r="D48" cm="1">
        <f t="array" ref="D48">C48*(0.5*linterp(0,atmos_h,atmos_rho)*((A48*linterp(0,atmos_h,atmos_aspeed))^2)*wingarea)</f>
        <v>255.97493149307704</v>
      </c>
      <c r="E48">
        <f t="shared" si="1"/>
        <v>5.1140761268166575</v>
      </c>
      <c r="F48" cm="1">
        <f t="array" ref="F48">D48*1.3*(linterp(10000,atmos_h,atmos_aspeed)/linterp(0,atmos_h,atmos_aspeed))</f>
        <v>321.11342802374998</v>
      </c>
      <c r="G48">
        <f t="shared" si="2"/>
        <v>2.1586721342514554</v>
      </c>
      <c r="H48">
        <f t="shared" si="3"/>
        <v>15.720153353936388</v>
      </c>
      <c r="I48" cm="1">
        <f t="array" ref="I48">(2/(F48/D48))*SQRT(2/(linterp(10000,atmos_h,atmos_rho)*wingarea))*H48*(SQRT(900)-SQRT(900-370))</f>
        <v>960.3320929151854</v>
      </c>
    </row>
    <row r="49" spans="1:9" x14ac:dyDescent="0.25">
      <c r="A49">
        <v>0.48</v>
      </c>
      <c r="B49" cm="1">
        <f t="array" ref="B49">(1*perfweight)/(0.5*linterp(10000,atmos_h,atmos_rho)*((A49*linterp(10000,atmos_h,atmos_aspeed))^2)*wingarea)</f>
        <v>0.10146915913709154</v>
      </c>
      <c r="C49">
        <f t="shared" si="0"/>
        <v>2.0638351395871283E-2</v>
      </c>
      <c r="D49" cm="1">
        <f t="array" ref="D49">C49*(0.5*linterp(0,atmos_h,atmos_rho)*((A49*linterp(0,atmos_h,atmos_aspeed))^2)*wingarea)</f>
        <v>266.2597777517575</v>
      </c>
      <c r="E49">
        <f t="shared" si="1"/>
        <v>4.916534135444099</v>
      </c>
      <c r="F49" cm="1">
        <f t="array" ref="F49">D49*1.3*(linterp(10000,atmos_h,atmos_aspeed)/linterp(0,atmos_h,atmos_aspeed))</f>
        <v>334.01548143795878</v>
      </c>
      <c r="G49">
        <f t="shared" si="2"/>
        <v>2.0752888639312466</v>
      </c>
      <c r="H49">
        <f t="shared" si="3"/>
        <v>15.434480915271724</v>
      </c>
      <c r="I49" cm="1">
        <f t="array" ref="I49">(2/(F49/D49))*SQRT(2/(linterp(10000,atmos_h,atmos_rho)*wingarea))*H49*(SQRT(900)-SQRT(900-370))</f>
        <v>942.88058307718984</v>
      </c>
    </row>
    <row r="50" spans="1:9" x14ac:dyDescent="0.25">
      <c r="A50">
        <v>0.49</v>
      </c>
      <c r="B50" cm="1">
        <f t="array" ref="B50">(1*perfweight)/(0.5*linterp(10000,atmos_h,atmos_rho)*((A50*linterp(10000,atmos_h,atmos_aspeed))^2)*wingarea)</f>
        <v>9.7369822012436005E-2</v>
      </c>
      <c r="C50">
        <f t="shared" si="0"/>
        <v>2.0587814698801474E-2</v>
      </c>
      <c r="D50" cm="1">
        <f t="array" ref="D50">C50*(0.5*linterp(0,atmos_h,atmos_rho)*((A50*linterp(0,atmos_h,atmos_aspeed))^2)*wingarea)</f>
        <v>276.79006556956273</v>
      </c>
      <c r="E50">
        <f t="shared" si="1"/>
        <v>4.7294879731992348</v>
      </c>
      <c r="F50" cm="1">
        <f t="array" ref="F50">D50*1.3*(linterp(10000,atmos_h,atmos_aspeed)/linterp(0,atmos_h,atmos_aspeed))</f>
        <v>347.22543445768889</v>
      </c>
      <c r="G50">
        <f t="shared" si="2"/>
        <v>1.9963359253663679</v>
      </c>
      <c r="H50">
        <f t="shared" si="3"/>
        <v>15.156605169194968</v>
      </c>
      <c r="I50" cm="1">
        <f t="array" ref="I50">(2/(F50/D50))*SQRT(2/(linterp(10000,atmos_h,atmos_rho)*wingarea))*H50*(SQRT(900)-SQRT(900-370))</f>
        <v>925.90536720033947</v>
      </c>
    </row>
    <row r="51" spans="1:9" x14ac:dyDescent="0.25">
      <c r="A51">
        <v>0.5</v>
      </c>
      <c r="B51" cm="1">
        <f t="array" ref="B51">(1*perfweight)/(0.5*linterp(10000,atmos_h,atmos_rho)*((A51*linterp(10000,atmos_h,atmos_aspeed))^2)*wingarea)</f>
        <v>9.3513977060743533E-2</v>
      </c>
      <c r="C51">
        <f t="shared" si="0"/>
        <v>2.0542181562154472E-2</v>
      </c>
      <c r="D51" cm="1">
        <f t="array" ref="D51">C51*(0.5*linterp(0,atmos_h,atmos_rho)*((A51*linterp(0,atmos_h,atmos_aspeed))^2)*wingarea)</f>
        <v>287.5640952628313</v>
      </c>
      <c r="E51">
        <f t="shared" si="1"/>
        <v>4.552290455509719</v>
      </c>
      <c r="F51" cm="1">
        <f t="array" ref="F51">D51*1.3*(linterp(10000,atmos_h,atmos_aspeed)/linterp(0,atmos_h,atmos_aspeed))</f>
        <v>360.74115487708747</v>
      </c>
      <c r="G51">
        <f t="shared" si="2"/>
        <v>1.9215401393417695</v>
      </c>
      <c r="H51">
        <f t="shared" si="3"/>
        <v>14.886469101993686</v>
      </c>
      <c r="I51" cm="1">
        <f t="array" ref="I51">(2/(F51/D51))*SQRT(2/(linterp(10000,atmos_h,atmos_rho)*wingarea))*H51*(SQRT(900)-SQRT(900-370))</f>
        <v>909.40296236073789</v>
      </c>
    </row>
    <row r="52" spans="1:9" x14ac:dyDescent="0.25">
      <c r="A52">
        <v>0.51</v>
      </c>
      <c r="B52" cm="1">
        <f t="array" ref="B52">(1*perfweight)/(0.5*linterp(10000,atmos_h,atmos_rho)*((A52*linterp(10000,atmos_h,atmos_aspeed))^2)*wingarea)</f>
        <v>8.9882715360191795E-2</v>
      </c>
      <c r="C52">
        <f t="shared" si="0"/>
        <v>2.0500891956272319E-2</v>
      </c>
      <c r="D52" cm="1">
        <f t="array" ref="D52">C52*(0.5*linterp(0,atmos_h,atmos_rho)*((A52*linterp(0,atmos_h,atmos_aspeed))^2)*wingarea)</f>
        <v>298.58033213302389</v>
      </c>
      <c r="E52">
        <f t="shared" si="1"/>
        <v>4.3843319379424299</v>
      </c>
      <c r="F52" cm="1">
        <f t="array" ref="F52">D52*1.3*(linterp(10000,atmos_h,atmos_aspeed)/linterp(0,atmos_h,atmos_aspeed))</f>
        <v>374.5607174595462</v>
      </c>
      <c r="G52">
        <f t="shared" si="2"/>
        <v>1.8506441724863882</v>
      </c>
      <c r="H52">
        <f t="shared" si="3"/>
        <v>14.623971606431963</v>
      </c>
      <c r="I52" cm="1">
        <f t="array" ref="I52">(2/(F52/D52))*SQRT(2/(linterp(10000,atmos_h,atmos_rho)*wingarea))*H52*(SQRT(900)-SQRT(900-370))</f>
        <v>893.36719199500783</v>
      </c>
    </row>
    <row r="53" spans="1:9" x14ac:dyDescent="0.25">
      <c r="A53">
        <v>0.52</v>
      </c>
      <c r="B53" cm="1">
        <f t="array" ref="B53">(1*perfweight)/(0.5*linterp(10000,atmos_h,atmos_rho)*((A53*linterp(10000,atmos_h,atmos_aspeed))^2)*wingarea)</f>
        <v>8.6458928495509943E-2</v>
      </c>
      <c r="C53">
        <f t="shared" si="0"/>
        <v>2.0463459071628685E-2</v>
      </c>
      <c r="D53" cm="1">
        <f t="array" ref="D53">C53*(0.5*linterp(0,atmos_h,atmos_rho)*((A53*linterp(0,atmos_h,atmos_aspeed))^2)*wingarea)</f>
        <v>309.83738761551609</v>
      </c>
      <c r="E53">
        <f t="shared" si="1"/>
        <v>4.2250397742080601</v>
      </c>
      <c r="F53" cm="1">
        <f t="array" ref="F53">D53*1.3*(linterp(10000,atmos_h,atmos_aspeed)/linterp(0,atmos_h,atmos_aspeed))</f>
        <v>388.68238028938617</v>
      </c>
      <c r="G53">
        <f t="shared" si="2"/>
        <v>1.7834063084947067</v>
      </c>
      <c r="H53">
        <f t="shared" si="3"/>
        <v>14.368977914493863</v>
      </c>
      <c r="I53" cm="1">
        <f t="array" ref="I53">(2/(F53/D53))*SQRT(2/(linterp(10000,atmos_h,atmos_rho)*wingarea))*H53*(SQRT(900)-SQRT(900-370))</f>
        <v>877.7898232285786</v>
      </c>
    </row>
    <row r="54" spans="1:9" x14ac:dyDescent="0.25">
      <c r="A54">
        <v>0.53</v>
      </c>
      <c r="B54" cm="1">
        <f t="array" ref="B54">(1*perfweight)/(0.5*linterp(10000,atmos_h,atmos_rho)*((A54*linterp(10000,atmos_h,atmos_aspeed))^2)*wingarea)</f>
        <v>8.3227106675635043E-2</v>
      </c>
      <c r="C54">
        <f t="shared" si="0"/>
        <v>2.0429458579707047E-2</v>
      </c>
      <c r="D54" cm="1">
        <f t="array" ref="D54">C54*(0.5*linterp(0,atmos_h,atmos_rho)*((A54*linterp(0,atmos_h,atmos_aspeed))^2)*wingarea)</f>
        <v>321.33400289428914</v>
      </c>
      <c r="E54">
        <f t="shared" si="1"/>
        <v>4.0738772567524641</v>
      </c>
      <c r="F54" cm="1">
        <f t="array" ref="F54">D54*1.3*(linterp(10000,atmos_h,atmos_aspeed)/linterp(0,atmos_h,atmos_aspeed))</f>
        <v>403.10456421694346</v>
      </c>
      <c r="G54">
        <f t="shared" si="2"/>
        <v>1.7196000009460914</v>
      </c>
      <c r="H54">
        <f t="shared" si="3"/>
        <v>14.1213280239255</v>
      </c>
      <c r="I54" cm="1">
        <f t="array" ref="I54">(2/(F54/D54))*SQRT(2/(linterp(10000,atmos_h,atmos_rho)*wingarea))*H54*(SQRT(900)-SQRT(900-370))</f>
        <v>862.6610816466665</v>
      </c>
    </row>
    <row r="55" spans="1:9" x14ac:dyDescent="0.25">
      <c r="A55">
        <v>0.54</v>
      </c>
      <c r="B55" cm="1">
        <f t="array" ref="B55">(1*perfweight)/(0.5*linterp(10000,atmos_h,atmos_rho)*((A55*linterp(10000,atmos_h,atmos_aspeed))^2)*wingarea)</f>
        <v>8.0173162774985873E-2</v>
      </c>
      <c r="C55">
        <f t="shared" si="0"/>
        <v>2.0398519633819352E-2</v>
      </c>
      <c r="D55" cm="1">
        <f t="array" ref="D55">C55*(0.5*linterp(0,atmos_h,atmos_rho)*((A55*linterp(0,atmos_h,atmos_aspeed))^2)*wingarea)</f>
        <v>333.06903462064992</v>
      </c>
      <c r="E55">
        <f t="shared" si="1"/>
        <v>3.930342211797774</v>
      </c>
      <c r="F55" cm="1">
        <f t="array" ref="F55">D55*1.3*(linterp(10000,atmos_h,atmos_aspeed)/linterp(0,atmos_h,atmos_aspeed))</f>
        <v>417.82583494310086</v>
      </c>
      <c r="G55">
        <f t="shared" si="2"/>
        <v>1.6590132802659892</v>
      </c>
      <c r="H55">
        <f t="shared" si="3"/>
        <v>13.880843488667262</v>
      </c>
      <c r="I55" cm="1">
        <f t="array" ref="I55">(2/(F55/D55))*SQRT(2/(linterp(10000,atmos_h,atmos_rho)*wingarea))*H55*(SQRT(900)-SQRT(900-370))</f>
        <v>847.97006611656332</v>
      </c>
    </row>
    <row r="56" spans="1:9" x14ac:dyDescent="0.25">
      <c r="A56">
        <v>0.55000000000000004</v>
      </c>
      <c r="B56" cm="1">
        <f t="array" ref="B56">(1*perfweight)/(0.5*linterp(10000,atmos_h,atmos_rho)*((A56*linterp(10000,atmos_h,atmos_aspeed))^2)*wingarea)</f>
        <v>7.7284278562597952E-2</v>
      </c>
      <c r="C56">
        <f t="shared" si="0"/>
        <v>2.0370317302202356E-2</v>
      </c>
      <c r="D56" cm="1">
        <f t="array" ref="D56">C56*(0.5*linterp(0,atmos_h,atmos_rho)*((A56*linterp(0,atmos_h,atmos_aspeed))^2)*wingarea)</f>
        <v>345.04144243277779</v>
      </c>
      <c r="E56">
        <f t="shared" si="1"/>
        <v>3.7939653769773281</v>
      </c>
      <c r="F56" cm="1">
        <f t="array" ref="F56">D56*1.3*(linterp(10000,atmos_h,atmos_aspeed)/linterp(0,atmos_h,atmos_aspeed))</f>
        <v>432.84488736290655</v>
      </c>
      <c r="G56">
        <f t="shared" si="2"/>
        <v>1.6014480689190944</v>
      </c>
      <c r="H56">
        <f t="shared" si="3"/>
        <v>13.647332875927225</v>
      </c>
      <c r="I56" cm="1">
        <f t="array" ref="I56">(2/(F56/D56))*SQRT(2/(linterp(10000,atmos_h,atmos_rho)*wingarea))*H56*(SQRT(900)-SQRT(900-370))</f>
        <v>833.70508215606071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4D0AB-2BDC-453C-BC85-03649668754F}">
  <dimension ref="A1"/>
  <sheetViews>
    <sheetView workbookViewId="0">
      <selection activeCell="H39" sqref="H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AFDAC-FB1A-4477-947A-21837BC06610}">
  <dimension ref="C35"/>
  <sheetViews>
    <sheetView workbookViewId="0">
      <selection activeCell="H41" sqref="H41"/>
    </sheetView>
  </sheetViews>
  <sheetFormatPr defaultRowHeight="15" x14ac:dyDescent="0.25"/>
  <sheetData>
    <row r="35" spans="3:3" x14ac:dyDescent="0.25">
      <c r="C35" t="s">
        <v>40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6E26-EC40-4FFB-9514-9587DA18CB8D}">
  <dimension ref="A1"/>
  <sheetViews>
    <sheetView workbookViewId="0">
      <selection activeCell="E35" sqref="E3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8069C-5B9F-44C6-881A-D8220695AB8D}"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8175-3F68-45AF-AA57-8FD6AF4982A1}">
  <dimension ref="A1"/>
  <sheetViews>
    <sheetView workbookViewId="0">
      <selection activeCell="E42" sqref="E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6DFE1-8A51-44F1-94EF-6AA3BBB985A8}">
  <sheetPr>
    <pageSetUpPr fitToPage="1"/>
  </sheetPr>
  <dimension ref="A2:G35"/>
  <sheetViews>
    <sheetView tabSelected="1" workbookViewId="0">
      <selection activeCell="H20" sqref="H20"/>
    </sheetView>
  </sheetViews>
  <sheetFormatPr defaultRowHeight="15" x14ac:dyDescent="0.25"/>
  <cols>
    <col min="1" max="1" width="42.7109375" customWidth="1"/>
    <col min="2" max="3" width="8.7109375" customWidth="1"/>
    <col min="4" max="5" width="12.7109375" customWidth="1"/>
    <col min="6" max="6" width="10.7109375" customWidth="1"/>
    <col min="7" max="7" width="1.7109375" customWidth="1"/>
    <col min="8" max="8" width="38.7109375" customWidth="1"/>
    <col min="9" max="9" width="9.140625" customWidth="1"/>
    <col min="10" max="11" width="10.7109375" customWidth="1"/>
  </cols>
  <sheetData>
    <row r="2" spans="1:5" x14ac:dyDescent="0.25">
      <c r="A2" s="11" t="s">
        <v>70</v>
      </c>
    </row>
    <row r="3" spans="1:5" x14ac:dyDescent="0.25">
      <c r="A3" s="11" t="s">
        <v>69</v>
      </c>
    </row>
    <row r="4" spans="1:5" ht="15.75" thickBot="1" x14ac:dyDescent="0.3"/>
    <row r="5" spans="1:5" s="3" customFormat="1" ht="19.5" customHeight="1" thickBot="1" x14ac:dyDescent="0.3">
      <c r="A5" s="8" t="s">
        <v>68</v>
      </c>
      <c r="B5" s="7" t="s">
        <v>53</v>
      </c>
      <c r="C5" s="7" t="s">
        <v>52</v>
      </c>
      <c r="D5" s="7" t="s">
        <v>51</v>
      </c>
      <c r="E5" s="7" t="s">
        <v>50</v>
      </c>
    </row>
    <row r="6" spans="1:5" s="3" customFormat="1" ht="19.5" customHeight="1" thickBot="1" x14ac:dyDescent="0.3">
      <c r="A6" s="9" t="s">
        <v>67</v>
      </c>
      <c r="B6" s="5" t="s">
        <v>66</v>
      </c>
      <c r="C6" s="5" t="s">
        <v>45</v>
      </c>
      <c r="D6" s="14">
        <f>900*SQRT(4*0.04*0.064)</f>
        <v>91.073596612849329</v>
      </c>
      <c r="E6" s="14">
        <f>900*SQRT(4*0.04*0.064)</f>
        <v>91.073596612849329</v>
      </c>
    </row>
    <row r="7" spans="1:5" s="3" customFormat="1" ht="19.5" customHeight="1" thickBot="1" x14ac:dyDescent="0.3">
      <c r="A7" s="6" t="s">
        <v>60</v>
      </c>
      <c r="B7" s="5" t="s">
        <v>59</v>
      </c>
      <c r="C7" s="5" t="s">
        <v>45</v>
      </c>
      <c r="D7" s="14" cm="1">
        <f t="array" ref="D7">SQRT((2/linterp(0,atmos_h,atmos_rho))*SQRT(0.064/0.02)*(perfweight/wingarea))</f>
        <v>189.31188219800336</v>
      </c>
      <c r="E7" s="14" cm="1">
        <f t="array" ref="E7">SQRT((2/linterp(10000,atmos_h,atmos_rho))*SQRT(0.064/0.02)*(perfweight/wingarea))</f>
        <v>220.32136307194054</v>
      </c>
    </row>
    <row r="8" spans="1:5" s="3" customFormat="1" ht="19.5" customHeight="1" thickBot="1" x14ac:dyDescent="0.3">
      <c r="A8" s="6" t="s">
        <v>58</v>
      </c>
      <c r="B8" s="10" t="s">
        <v>57</v>
      </c>
      <c r="C8" s="10" t="s">
        <v>56</v>
      </c>
      <c r="D8" s="12" cm="1">
        <f t="array" ref="D8">D7/linterp(0,atmos_h,atmos_aspeed)</f>
        <v>0.16956441090411062</v>
      </c>
      <c r="E8" s="12" cm="1">
        <f t="array" ref="E8">E7/linterp(10000,atmos_h,atmos_aspeed)</f>
        <v>0.20450115381296927</v>
      </c>
    </row>
    <row r="9" spans="1:5" s="3" customFormat="1" ht="19.5" customHeight="1" thickBot="1" x14ac:dyDescent="0.3">
      <c r="A9" s="8"/>
      <c r="B9" s="8"/>
      <c r="C9" s="8"/>
      <c r="D9" s="8"/>
      <c r="E9" s="8"/>
    </row>
    <row r="10" spans="1:5" s="3" customFormat="1" ht="19.5" customHeight="1" thickBot="1" x14ac:dyDescent="0.3">
      <c r="A10" s="9" t="s">
        <v>65</v>
      </c>
      <c r="B10" s="10" t="s">
        <v>57</v>
      </c>
      <c r="C10" s="5" t="s">
        <v>61</v>
      </c>
      <c r="D10" s="13">
        <f>SQRT(1/(4*0.02*0.064))</f>
        <v>13.975424859373685</v>
      </c>
      <c r="E10" s="13">
        <f>SQRT(1/(4*0.02*0.064))</f>
        <v>13.975424859373685</v>
      </c>
    </row>
    <row r="11" spans="1:5" s="3" customFormat="1" ht="19.5" customHeight="1" thickBot="1" x14ac:dyDescent="0.3">
      <c r="A11" s="6" t="s">
        <v>60</v>
      </c>
      <c r="B11" s="5" t="s">
        <v>59</v>
      </c>
      <c r="C11" s="5" t="s">
        <v>45</v>
      </c>
      <c r="D11" s="14" cm="1">
        <f t="array" ref="D11">SQRT((2/linterp(0,atmos_h,atmos_rho))*SQRT(0.064/0.02)*(perfweight/wingarea))</f>
        <v>189.31188219800336</v>
      </c>
      <c r="E11" s="14" cm="1">
        <f t="array" ref="E11">SQRT((2/linterp(10000,atmos_h,atmos_rho))*SQRT(0.064/0.02)*(perfweight/wingarea))</f>
        <v>220.32136307194054</v>
      </c>
    </row>
    <row r="12" spans="1:5" s="3" customFormat="1" ht="19.5" customHeight="1" thickBot="1" x14ac:dyDescent="0.3">
      <c r="A12" s="6" t="s">
        <v>58</v>
      </c>
      <c r="B12" s="10" t="s">
        <v>57</v>
      </c>
      <c r="C12" s="10" t="s">
        <v>56</v>
      </c>
      <c r="D12" s="12" cm="1">
        <f t="array" ref="D12">D11/linterp(0,atmos_h,atmos_aspeed)</f>
        <v>0.16956441090411062</v>
      </c>
      <c r="E12" s="12" cm="1">
        <f t="array" ref="E12">E11/linterp(0,atmos_h,atmos_aspeed)</f>
        <v>0.19733923568416292</v>
      </c>
    </row>
    <row r="13" spans="1:5" s="3" customFormat="1" ht="19.5" customHeight="1" thickBot="1" x14ac:dyDescent="0.3">
      <c r="A13" s="9" t="s">
        <v>64</v>
      </c>
      <c r="B13" s="5" t="s">
        <v>63</v>
      </c>
      <c r="C13" s="5" t="s">
        <v>61</v>
      </c>
      <c r="D13" s="13" cm="1">
        <f t="array" ref="D13">(1/((D6*1.3*(linterp(0,atmos_h,atmos_aspeed)/linterp(0,atmos_h,atmos_aspeed)))/D6))*D10*LN(900/(900-370))</f>
        <v>5.6924889396592704</v>
      </c>
      <c r="E13" s="13" cm="1">
        <f t="array" ref="E13">(1/((E6*1.3*(linterp(10000,atmos_h,atmos_aspeed)/linterp(0,atmos_h,atmos_aspeed)))/E6))*E10*LN(900/(900-370))</f>
        <v>5.8990831305895801</v>
      </c>
    </row>
    <row r="14" spans="1:5" s="3" customFormat="1" ht="19.5" customHeight="1" thickBot="1" x14ac:dyDescent="0.3">
      <c r="A14" s="8"/>
      <c r="B14" s="8"/>
      <c r="C14" s="8"/>
      <c r="D14" s="8"/>
      <c r="E14" s="8"/>
    </row>
    <row r="15" spans="1:5" s="3" customFormat="1" ht="19.5" customHeight="1" thickBot="1" x14ac:dyDescent="0.3">
      <c r="A15" s="9" t="s">
        <v>62</v>
      </c>
      <c r="B15" s="10" t="s">
        <v>57</v>
      </c>
      <c r="C15" s="5" t="s">
        <v>61</v>
      </c>
      <c r="D15" s="13">
        <f>(3/4)*(1/(3*0.064*(0.02^3)))^(1/4)</f>
        <v>21.304113121265608</v>
      </c>
      <c r="E15" s="13">
        <f>(3/4)*(1/(3*0.064*(0.02^3)))^(1/4)</f>
        <v>21.304113121265608</v>
      </c>
    </row>
    <row r="16" spans="1:5" s="3" customFormat="1" ht="19.5" customHeight="1" thickBot="1" x14ac:dyDescent="0.3">
      <c r="A16" s="6" t="s">
        <v>60</v>
      </c>
      <c r="B16" s="5" t="s">
        <v>59</v>
      </c>
      <c r="C16" s="5" t="s">
        <v>45</v>
      </c>
      <c r="D16" s="14" cm="1">
        <f t="array" ref="D16">((2/linterp(0,atmos_h,atmos_rho))*SQRT((3*0.064)/0.02)*(900/wingarea))^(1/2)</f>
        <v>249.1484485039158</v>
      </c>
      <c r="E16" s="14" cm="1">
        <f t="array" ref="E16">((2/linterp(10000,atmos_h,atmos_rho))*SQRT((3*0.064)/0.02)*(900/wingarea))^(1/2)</f>
        <v>289.95922043725187</v>
      </c>
    </row>
    <row r="17" spans="1:7" s="3" customFormat="1" ht="19.5" customHeight="1" thickBot="1" x14ac:dyDescent="0.3">
      <c r="A17" s="6" t="s">
        <v>58</v>
      </c>
      <c r="B17" s="10" t="s">
        <v>57</v>
      </c>
      <c r="C17" s="10" t="s">
        <v>56</v>
      </c>
      <c r="D17" s="12" cm="1">
        <f t="array" ref="D17">D16/linterp(0,atmos_h,atmos_aspeed)</f>
        <v>0.22315931471249825</v>
      </c>
      <c r="E17" s="12" cm="1">
        <f t="array" ref="E17">E16/linterp(0,atmos_h,atmos_aspeed)</f>
        <v>0.25971303981983401</v>
      </c>
    </row>
    <row r="18" spans="1:7" s="3" customFormat="1" ht="19.5" customHeight="1" thickBot="1" x14ac:dyDescent="0.3">
      <c r="A18" s="9" t="s">
        <v>55</v>
      </c>
      <c r="B18" s="5" t="s">
        <v>48</v>
      </c>
      <c r="C18" s="5" t="s">
        <v>45</v>
      </c>
      <c r="D18" s="14" cm="1">
        <f t="array" ref="D18">(2/((D6*1.3*(linterp(0,atmos_h,atmos_aspeed)/linterp(0,atmos_h,atmos_aspeed)))/D6))*SQRT(2/(linterp(0,atmos_h,atmos_rho)*wingarea))*D15*(SQRT(900)-SQRT(900-370))</f>
        <v>1079.113352697377</v>
      </c>
      <c r="E18" s="14" cm="1">
        <f t="array" ref="E18">(2/((E6*1.3*(linterp(10000,atmos_h,atmos_aspeed)/linterp(0,atmos_h,atmos_aspeed)))/E6))*SQRT(2/(linterp(10000,atmos_h,atmos_rho)*wingarea))*E15*(SQRT(900)-SQRT(900-370))</f>
        <v>1301.451905768072</v>
      </c>
    </row>
    <row r="19" spans="1:7" s="3" customFormat="1" ht="19.5" customHeight="1" thickBot="1" x14ac:dyDescent="0.3">
      <c r="A19" s="8"/>
      <c r="B19" s="8"/>
      <c r="C19" s="8"/>
      <c r="D19" s="8"/>
      <c r="E19" s="8"/>
    </row>
    <row r="20" spans="1:7" s="3" customFormat="1" ht="19.5" customHeight="1" thickBot="1" x14ac:dyDescent="0.3">
      <c r="A20" s="8" t="s">
        <v>54</v>
      </c>
      <c r="B20" s="7" t="s">
        <v>53</v>
      </c>
      <c r="C20" s="7" t="s">
        <v>52</v>
      </c>
      <c r="D20" s="7" t="s">
        <v>51</v>
      </c>
      <c r="E20" s="7" t="s">
        <v>50</v>
      </c>
    </row>
    <row r="21" spans="1:7" s="3" customFormat="1" ht="19.5" customHeight="1" thickBot="1" x14ac:dyDescent="0.3">
      <c r="A21" s="6" t="s">
        <v>49</v>
      </c>
      <c r="B21" s="5" t="s">
        <v>48</v>
      </c>
      <c r="C21" s="5" t="s">
        <v>45</v>
      </c>
      <c r="D21" s="14" cm="1">
        <f t="array" ref="D21">(2/((D6*1.3*(linterp(0,atmos_h,atmos_aspeed)/linterp(0,atmos_h,atmos_aspeed)))/D6))*SQRT(2/(linterp(0,atmos_h,atmos_rho)*wingarea))*D15*(SQRT(900)-SQRT(800))</f>
        <v>265.31869728696688</v>
      </c>
      <c r="E21" s="14" cm="1">
        <f t="array" ref="E21">(2/((E6*1.3*(linterp(10000,atmos_h,atmos_aspeed)/linterp(0,atmos_h,atmos_aspeed)))/E6))*SQRT(2/(linterp(10000,atmos_h,atmos_rho)*wingarea))*E15*(SQRT(900)-SQRT(800))</f>
        <v>319.98447925503518</v>
      </c>
    </row>
    <row r="22" spans="1:7" s="3" customFormat="1" ht="19.5" customHeight="1" thickBot="1" x14ac:dyDescent="0.3">
      <c r="A22" s="6" t="s">
        <v>47</v>
      </c>
      <c r="B22" s="5" t="s">
        <v>46</v>
      </c>
      <c r="C22" s="5" t="s">
        <v>45</v>
      </c>
      <c r="D22" s="14" cm="1">
        <f t="array" ref="D22">(1/((D6*1.3*(linterp(0,atmos_h,atmos_aspeed)/linterp(0,atmos_h,atmos_aspeed)))/D6))*D10*LN(900/800)</f>
        <v>1.2662061265574758</v>
      </c>
      <c r="E22" s="14" cm="1">
        <f t="array" ref="E22">(1/((E6*1.3*(linterp(10000,atmos_h,atmos_aspeed)/linterp(0,atmos_h,atmos_aspeed)))/E6))*E10*LN(900/800)</f>
        <v>1.3121598092154521</v>
      </c>
      <c r="G22" s="4"/>
    </row>
    <row r="23" spans="1:7" x14ac:dyDescent="0.25">
      <c r="G23" s="2"/>
    </row>
    <row r="27" spans="1:7" x14ac:dyDescent="0.25">
      <c r="G27" s="2"/>
    </row>
    <row r="35" spans="4:5" x14ac:dyDescent="0.25">
      <c r="D35" s="1"/>
      <c r="E35" s="1"/>
    </row>
  </sheetData>
  <printOptions horizontalCentered="1" gridLines="1"/>
  <pageMargins left="0.45" right="0.45" top="1.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29</vt:i4>
      </vt:variant>
    </vt:vector>
  </HeadingPairs>
  <TitlesOfParts>
    <vt:vector size="39" baseType="lpstr">
      <vt:lpstr>Altitude Table</vt:lpstr>
      <vt:lpstr>Bede BD-5J Stats</vt:lpstr>
      <vt:lpstr>Numbers (SL)</vt:lpstr>
      <vt:lpstr>Numbers (10K)</vt:lpstr>
      <vt:lpstr>Chart A</vt:lpstr>
      <vt:lpstr>Chart B</vt:lpstr>
      <vt:lpstr>Chart C</vt:lpstr>
      <vt:lpstr>Chart D</vt:lpstr>
      <vt:lpstr>Chart E</vt:lpstr>
      <vt:lpstr>HW8 - Thrust Required</vt:lpstr>
      <vt:lpstr>'Numbers (10K)'!atmos_aspeed</vt:lpstr>
      <vt:lpstr>atmos_aspeed</vt:lpstr>
      <vt:lpstr>'Numbers (10K)'!atmos_dr</vt:lpstr>
      <vt:lpstr>atmos_dr</vt:lpstr>
      <vt:lpstr>'Numbers (10K)'!atmos_h</vt:lpstr>
      <vt:lpstr>atmos_h</vt:lpstr>
      <vt:lpstr>'Numbers (10K)'!atmos_qms</vt:lpstr>
      <vt:lpstr>atmos_qms</vt:lpstr>
      <vt:lpstr>'Numbers (10K)'!atmos_rho</vt:lpstr>
      <vt:lpstr>atmos_rho</vt:lpstr>
      <vt:lpstr>'Numbers (10K)'!atmos_sqrtdr</vt:lpstr>
      <vt:lpstr>atmos_sqrtdr</vt:lpstr>
      <vt:lpstr>'Numbers (10K)'!atmos_vela</vt:lpstr>
      <vt:lpstr>atmos_vela</vt:lpstr>
      <vt:lpstr>ceiling</vt:lpstr>
      <vt:lpstr>clflight</vt:lpstr>
      <vt:lpstr>cllanding</vt:lpstr>
      <vt:lpstr>cltakeoff</vt:lpstr>
      <vt:lpstr>fuelmass</vt:lpstr>
      <vt:lpstr>fuelvol</vt:lpstr>
      <vt:lpstr>maxkeas</vt:lpstr>
      <vt:lpstr>maxload</vt:lpstr>
      <vt:lpstr>maxmach</vt:lpstr>
      <vt:lpstr>maxmph</vt:lpstr>
      <vt:lpstr>maxweight</vt:lpstr>
      <vt:lpstr>minload</vt:lpstr>
      <vt:lpstr>perfweight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2024-02-06T02:21:23Z</dcterms:modified>
</cp:coreProperties>
</file>