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A1120B54-EC76-4342-A378-4B8F3B96CD76}" xr6:coauthVersionLast="47" xr6:coauthVersionMax="47" xr10:uidLastSave="{00000000-0000-0000-0000-000000000000}"/>
  <bookViews>
    <workbookView xWindow="14295" yWindow="8700" windowWidth="14610" windowHeight="8805" activeTab="2" xr2:uid="{00000000-000D-0000-FFFF-FFFF00000000}"/>
  </bookViews>
  <sheets>
    <sheet name="Altitude Table" sheetId="2" r:id="rId1"/>
    <sheet name="Bede BD-5J Stats" sheetId="3" r:id="rId2"/>
    <sheet name="Sheet1" sheetId="1" r:id="rId3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g">'Bede BD-5J Stats'!$B$13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/>
  <c r="G11" i="1"/>
  <c r="G10" i="1"/>
  <c r="E11" i="1"/>
  <c r="B12" i="1"/>
  <c r="B11" i="1"/>
  <c r="H6" i="1"/>
  <c r="J8" i="1"/>
  <c r="J6" i="1"/>
  <c r="J4" i="1"/>
  <c r="H4" i="1"/>
  <c r="E7" i="1"/>
  <c r="E3" i="1"/>
  <c r="G9" i="1" a="1"/>
  <c r="C11" i="1" a="1"/>
  <c r="B10" i="1" a="1"/>
  <c r="B9" i="1" a="1"/>
  <c r="H2" i="1" a="1"/>
  <c r="E5" i="1" a="1"/>
  <c r="E4" i="1" a="1"/>
  <c r="G9" i="1" l="1"/>
  <c r="C11" i="1"/>
  <c r="B10" i="1"/>
  <c r="B9" i="1"/>
  <c r="H2" i="1"/>
  <c r="E5" i="1"/>
  <c r="E4" i="1"/>
  <c r="C5" i="1" l="1" a="1"/>
  <c r="B5" i="1" a="1"/>
  <c r="C5" i="1" l="1"/>
  <c r="B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<sst xmlns="http://schemas.openxmlformats.org/spreadsheetml/2006/main" count="45" uniqueCount="39">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</sst>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I1" workbookViewId="0">
      <selection activeCell="N2" sqref="N2:N6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3"/>
  <sheetViews>
    <sheetView topLeftCell="A4" workbookViewId="0">
      <selection activeCell="B13" sqref="B13"/>
    </sheetView>
  </sheetViews>
  <sheetFormatPr defaultRowHeight="15" x14ac:dyDescent="0.2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  <row r="11" spans="1:7" x14ac:dyDescent="0.25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 x14ac:dyDescent="0.25">
      <c r="A13" t="s">
        <v>20</v>
      </c>
      <c r="B13">
        <v>32.173999999999999</v>
      </c>
      <c r="C13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2"/>
  <sheetViews>
    <sheetView tabSelected="1" topLeftCell="A3" workbookViewId="0">
      <selection activeCell="G13" sqref="G13"/>
    </sheetView>
  </sheetViews>
  <sheetFormatPr defaultRowHeight="15" x14ac:dyDescent="0.25"/>
  <cols>
    <col min="2" max="2" width="12" bestFit="1" customWidth="1"/>
    <col min="8" max="9" width="12" bestFit="1" customWidth="1"/>
  </cols>
  <sheetData>
    <row r="2" spans="2:10" x14ac:dyDescent="0.25">
      <c r="H2" cm="1">
        <f t="array" ref="H2">0.8*linterp(30000,atmos_h,atmos_aspeed)</f>
        <v>795.72800000000007</v>
      </c>
    </row>
    <row r="3" spans="2:10" x14ac:dyDescent="0.25">
      <c r="E3">
        <f>60000*SQRT(4*0.015*0.08)</f>
        <v>4156.9219381653056</v>
      </c>
    </row>
    <row r="4" spans="2:10" x14ac:dyDescent="0.25">
      <c r="E4" cm="1">
        <f t="array" ref="E4">SQRT((2/linterp(30000,atmos_h,atmos_rho))*SQRT(0.08/0.015)*(65000/950))</f>
        <v>596.18940024793051</v>
      </c>
      <c r="H4">
        <f>60000/5089</f>
        <v>11.790135586559245</v>
      </c>
      <c r="J4">
        <f>(696.7/1)*(0.25/0.02)</f>
        <v>8708.75</v>
      </c>
    </row>
    <row r="5" spans="2:10" x14ac:dyDescent="0.25">
      <c r="B5" cm="1">
        <f t="array" ref="B5">700/linterp(10000,atmos_h,atmos_sqrtdr)</f>
        <v>814.71135940409692</v>
      </c>
      <c r="C5" cm="1">
        <f t="array" ref="C5">B5/linterp(10000,atmos_h,atmos_aspeed)</f>
        <v>0.75621088531604752</v>
      </c>
      <c r="E5" cm="1">
        <f t="array" ref="E5">E4/linterp(30000,atmos_h,atmos_aspeed)</f>
        <v>0.59939014361483378</v>
      </c>
    </row>
    <row r="6" spans="2:10" x14ac:dyDescent="0.25">
      <c r="H6">
        <f>(H2/0.691)*(H4)*LN(60000/(60000-15000))</f>
        <v>3905.8736569737803</v>
      </c>
      <c r="J6">
        <f>7167*(0.02/0.25)*(1/696.7)</f>
        <v>0.82296540835366727</v>
      </c>
    </row>
    <row r="7" spans="2:10" x14ac:dyDescent="0.25">
      <c r="E7">
        <f>SQRT(1/(4*0.015*0.08))</f>
        <v>14.433756729740644</v>
      </c>
    </row>
    <row r="8" spans="2:10" x14ac:dyDescent="0.25">
      <c r="J8">
        <f>1/(20*(1/14.43))</f>
        <v>0.72150000000000014</v>
      </c>
    </row>
    <row r="9" spans="2:10" x14ac:dyDescent="0.25">
      <c r="B9" cm="1">
        <f t="array" ref="B9">0.8*linterp(30000,atmos_h,atmos_aspeed)</f>
        <v>795.72800000000007</v>
      </c>
      <c r="G9" cm="1">
        <f t="array" ref="G9">SQRT((2/linterp(5000,atmos_h,atmos_rho))*SQRT(0.08/0.015)*(52000/950))</f>
        <v>351.28194290073321</v>
      </c>
    </row>
    <row r="10" spans="2:10" x14ac:dyDescent="0.25">
      <c r="B10" cm="1">
        <f t="array" ref="B10">58000/(0.5*linterp(30000,atmos_h,atmos_rho)*(B9^2)*950)</f>
        <v>0.21689747349159078</v>
      </c>
      <c r="G10">
        <f>SQRT(1/(4*0.015*0.08))</f>
        <v>14.433756729740644</v>
      </c>
    </row>
    <row r="11" spans="2:10" x14ac:dyDescent="0.25">
      <c r="B11">
        <f>0.015+(0.08*(B10^2))</f>
        <v>1.8763561120562825E-2</v>
      </c>
      <c r="C11" cm="1">
        <f t="array" ref="C11">linterp(30000,atmos_h,atmos_qms)*(0.8^2)</f>
        <v>281.47200000000004</v>
      </c>
      <c r="E11">
        <f>((15350-B12)*B9)/58000</f>
        <v>141.75830906047526</v>
      </c>
      <c r="G11">
        <f>(1/0.6879)*G10</f>
        <v>20.982347332084089</v>
      </c>
    </row>
    <row r="12" spans="2:10" x14ac:dyDescent="0.25">
      <c r="B12">
        <f>B11*C11*950</f>
        <v>5017.3462219407074</v>
      </c>
      <c r="G12">
        <f>G11*LN((52000+8500)/52000)</f>
        <v>3.1767199678812754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Altitude Table</vt:lpstr>
      <vt:lpstr>Bede BD-5J Stats</vt:lpstr>
      <vt:lpstr>Sheet1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ceiling</vt:lpstr>
      <vt:lpstr>clflight</vt:lpstr>
      <vt:lpstr>cllanding</vt:lpstr>
      <vt:lpstr>cltakeoff</vt:lpstr>
      <vt:lpstr>fuelmass</vt:lpstr>
      <vt:lpstr>fuelvol</vt:lpstr>
      <vt:lpstr>g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2024-02-15T21:14:36Z</dcterms:modified>
</cp:coreProperties>
</file>