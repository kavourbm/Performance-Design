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C8AE876D-5AE1-4E8E-B1E3-4BA155DD71E0}" xr6:coauthVersionLast="47" xr6:coauthVersionMax="47" xr10:uidLastSave="{00000000-0000-0000-0000-000000000000}"/>
  <bookViews>
    <workbookView xWindow="14295" yWindow="0" windowWidth="14610" windowHeight="17505" xr2:uid="{00000000-000D-0000-FFFF-FFFF00000000}"/>
  </bookViews>
  <sheets>
    <sheet name="HW6 - Atmosphere Table Lookup" sheetId="13" r:id="rId1"/>
    <sheet name="Question 1" sheetId="15" r:id="rId2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ExternalData_1" localSheetId="1" hidden="1">'Question 1'!$A$1:$O$62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13" l="1" a="1"/>
  <c r="F31" i="13" a="1"/>
  <c r="F30" i="13" a="1"/>
  <c r="F29" i="13" a="1"/>
  <c r="F28" i="13" a="1"/>
  <c r="F27" i="13" a="1"/>
  <c r="F25" i="13" a="1"/>
  <c r="F24" i="13" a="1"/>
  <c r="F23" i="13" a="1"/>
  <c r="F22" i="13" a="1"/>
  <c r="F21" i="13" a="1"/>
  <c r="F20" i="13" a="1"/>
  <c r="F18" i="13" a="1"/>
  <c r="F17" i="13" a="1"/>
  <c r="F16" i="13" a="1"/>
  <c r="F15" i="13" a="1"/>
  <c r="F14" i="13" a="1"/>
  <c r="F13" i="13" a="1"/>
  <c r="F11" i="13" a="1"/>
  <c r="F10" i="13" a="1"/>
  <c r="F9" i="13" a="1"/>
  <c r="F8" i="13" a="1"/>
  <c r="F7" i="13" a="1"/>
  <c r="F6" i="13" a="1"/>
  <c r="F32" i="13" l="1"/>
  <c r="F31" i="13"/>
  <c r="F30" i="13"/>
  <c r="F29" i="13"/>
  <c r="F28" i="13"/>
  <c r="F27" i="13"/>
  <c r="F25" i="13"/>
  <c r="F24" i="13"/>
  <c r="F23" i="13"/>
  <c r="F22" i="13"/>
  <c r="F21" i="13"/>
  <c r="F20" i="13"/>
  <c r="F18" i="13"/>
  <c r="F17" i="13"/>
  <c r="F16" i="13"/>
  <c r="F15" i="13"/>
  <c r="F14" i="13"/>
  <c r="F13" i="13"/>
  <c r="F11" i="13"/>
  <c r="F10" i="13"/>
  <c r="F9" i="13"/>
  <c r="F8" i="13"/>
  <c r="F7" i="13"/>
  <c r="F6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12793B-1575-4C53-8B1B-0CAF78C5EE2B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<sst xmlns="http://schemas.openxmlformats.org/spreadsheetml/2006/main" count="100" uniqueCount="36">
  <si>
    <t>QMS</t>
  </si>
  <si>
    <t>Altitude</t>
  </si>
  <si>
    <t>rho</t>
  </si>
  <si>
    <t xml:space="preserve"> ft</t>
  </si>
  <si>
    <t>DR</t>
  </si>
  <si>
    <t>SQRT DR</t>
  </si>
  <si>
    <t xml:space="preserve"> ---</t>
  </si>
  <si>
    <t>ft/sec</t>
  </si>
  <si>
    <t>NM/hr</t>
  </si>
  <si>
    <t>Units</t>
  </si>
  <si>
    <t>Parameter</t>
  </si>
  <si>
    <t>Format</t>
  </si>
  <si>
    <t>X.YYYYYYYY</t>
  </si>
  <si>
    <t>X.YYYY</t>
  </si>
  <si>
    <t>X.YY</t>
  </si>
  <si>
    <r>
      <t>slugs/ft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</si>
  <si>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lb/ft</t>
    </r>
    <r>
      <rPr>
        <vertAlign val="superscript"/>
        <sz val="12"/>
        <color theme="1"/>
        <rFont val="Calibri"/>
        <family val="2"/>
        <scheme val="minor"/>
      </rPr>
      <t>2</t>
    </r>
  </si>
  <si>
    <t>Homework #6</t>
  </si>
  <si>
    <t>Atmosphere Table Lookup</t>
  </si>
  <si>
    <t>a (ft/sec)</t>
  </si>
  <si>
    <t>a (NM/hr)</t>
  </si>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</sst>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9C6098A-48EA-454E-9225-4C432C6E93ED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B8A25D-0F48-47F6-92AA-F6B27DD2258A}" name="Question_1" displayName="Question_1" ref="A1:O62" tableType="queryTable" totalsRowShown="0">
  <autoFilter ref="A1:O62" xr:uid="{B0B8A25D-0F48-47F6-92AA-F6B27DD2258A}"/>
  <tableColumns count="15">
    <tableColumn id="1" xr3:uid="{C40B956F-785E-428F-B63A-90FF880745CD}" uniqueName="1" name="Altitude (ft)" queryTableFieldId="1"/>
    <tableColumn id="2" xr3:uid="{F078C5AF-9E15-4330-BA3A-C861EA8C5961}" uniqueName="2" name="Temperature (R)" queryTableFieldId="2"/>
    <tableColumn id="3" xr3:uid="{A436E3AF-CD38-4C20-B1F6-0776340A301F}" uniqueName="3" name="Temperature (°F)" queryTableFieldId="3"/>
    <tableColumn id="4" xr3:uid="{10833607-32FE-4427-9066-F76711A6CC91}" uniqueName="4" name="Temperature (°C)" queryTableFieldId="4"/>
    <tableColumn id="5" xr3:uid="{2313EBBF-35D5-47F0-91AD-2B2B64007CA0}" uniqueName="5" name="Temperature Ratio" queryTableFieldId="5"/>
    <tableColumn id="6" xr3:uid="{5A9B1809-B0CB-4DAB-8FD1-DC144ADE7B72}" uniqueName="6" name="Pressure Ratio" queryTableFieldId="6"/>
    <tableColumn id="7" xr3:uid="{BD8A951C-E6E4-44F4-865B-8223FE8F1890}" uniqueName="7" name="Pressure (lb/ft^2)" queryTableFieldId="7"/>
    <tableColumn id="8" xr3:uid="{6E3EA5EE-B593-45B8-98AD-853F2C5C4949}" uniqueName="8" name="Density (slug/ft^3)" queryTableFieldId="8"/>
    <tableColumn id="9" xr3:uid="{ED37B4C5-D1FB-46FC-8C4C-96201ADF7AAD}" uniqueName="9" name="Density Ratio" queryTableFieldId="9"/>
    <tableColumn id="10" xr3:uid="{C8099AD2-593D-4C93-A1B5-3E72F553CEEE}" uniqueName="10" name="SQRTDR" queryTableFieldId="10"/>
    <tableColumn id="11" xr3:uid="{141CCC41-E033-4B9A-B0D8-C09CB9340BA8}" uniqueName="11" name="QMS (lb/ft^2)" queryTableFieldId="11"/>
    <tableColumn id="12" xr3:uid="{674C605A-B476-4E80-B5CB-7BF78F77EC16}" uniqueName="12" name="Specific Weight (lb/ft^3)" queryTableFieldId="12"/>
    <tableColumn id="13" xr3:uid="{1AF910FF-6A8B-4C49-A593-3F21C16476BD}" uniqueName="13" name="Speed of Sound (ft/s)" queryTableFieldId="13"/>
    <tableColumn id="14" xr3:uid="{00C01803-3F34-4F43-8A5A-DC8EBFE5BD1A}" uniqueName="14" name="Speed of Sound (knots)" queryTableFieldId="14"/>
    <tableColumn id="15" xr3:uid="{177EB85F-6797-4D80-85E4-2807B7FE6579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G32"/>
  <sheetViews>
    <sheetView tabSelected="1" topLeftCell="A3" workbookViewId="0">
      <selection activeCell="H13" sqref="H13"/>
    </sheetView>
  </sheetViews>
  <sheetFormatPr defaultRowHeight="15" x14ac:dyDescent="0.25"/>
  <cols>
    <col min="1" max="2" width="10.7109375" customWidth="1"/>
    <col min="3" max="3" width="5.7109375" customWidth="1"/>
    <col min="4" max="7" width="12.7109375" customWidth="1"/>
  </cols>
  <sheetData>
    <row r="2" spans="1:7" x14ac:dyDescent="0.25">
      <c r="A2" s="12" t="s">
        <v>17</v>
      </c>
      <c r="B2" s="12"/>
      <c r="C2" s="12"/>
      <c r="D2" s="12"/>
    </row>
    <row r="3" spans="1:7" x14ac:dyDescent="0.25">
      <c r="A3" s="12" t="s">
        <v>18</v>
      </c>
      <c r="B3" s="12"/>
      <c r="C3" s="12"/>
      <c r="D3" s="12"/>
    </row>
    <row r="4" spans="1:7" ht="15.75" thickBot="1" x14ac:dyDescent="0.3"/>
    <row r="5" spans="1:7" ht="19.5" customHeight="1" thickBot="1" x14ac:dyDescent="0.3">
      <c r="A5" s="1"/>
      <c r="B5" s="2"/>
      <c r="C5" s="2"/>
      <c r="D5" s="2" t="s">
        <v>10</v>
      </c>
      <c r="E5" s="2" t="s">
        <v>11</v>
      </c>
      <c r="F5" s="2"/>
      <c r="G5" s="2" t="s">
        <v>9</v>
      </c>
    </row>
    <row r="6" spans="1:7" ht="19.5" customHeight="1" thickBot="1" x14ac:dyDescent="0.3">
      <c r="A6" s="3" t="s">
        <v>1</v>
      </c>
      <c r="B6" s="4">
        <v>0</v>
      </c>
      <c r="C6" s="5" t="s">
        <v>3</v>
      </c>
      <c r="D6" s="6" t="s">
        <v>2</v>
      </c>
      <c r="E6" s="6" t="s">
        <v>12</v>
      </c>
      <c r="F6" s="11" cm="1">
        <f t="array" ref="F6">Linterp($B$6,atmos_h,atmos_rho)</f>
        <v>2.3768399999999999E-3</v>
      </c>
      <c r="G6" s="10" t="s">
        <v>15</v>
      </c>
    </row>
    <row r="7" spans="1:7" ht="19.5" customHeight="1" thickBot="1" x14ac:dyDescent="0.3">
      <c r="A7" s="3"/>
      <c r="B7" s="4"/>
      <c r="C7" s="4"/>
      <c r="D7" s="6" t="s">
        <v>4</v>
      </c>
      <c r="E7" s="6" t="s">
        <v>13</v>
      </c>
      <c r="F7" s="11" cm="1">
        <f t="array" ref="F7">Linterp($B$6,atmos_h,atmos_dr)</f>
        <v>1</v>
      </c>
      <c r="G7" s="7" t="s">
        <v>6</v>
      </c>
    </row>
    <row r="8" spans="1:7" ht="19.5" customHeight="1" thickBot="1" x14ac:dyDescent="0.3">
      <c r="A8" s="3"/>
      <c r="B8" s="4"/>
      <c r="C8" s="4"/>
      <c r="D8" s="8" t="s">
        <v>5</v>
      </c>
      <c r="E8" s="6" t="s">
        <v>13</v>
      </c>
      <c r="F8" s="11" cm="1">
        <f t="array" ref="F8">Linterp($B$6,atmos_h,atmos_sqrtdr)</f>
        <v>1</v>
      </c>
      <c r="G8" s="7" t="s">
        <v>6</v>
      </c>
    </row>
    <row r="9" spans="1:7" ht="19.5" customHeight="1" thickBot="1" x14ac:dyDescent="0.3">
      <c r="A9" s="3"/>
      <c r="B9" s="4"/>
      <c r="C9" s="4"/>
      <c r="D9" s="6" t="s">
        <v>0</v>
      </c>
      <c r="E9" s="6" t="s">
        <v>14</v>
      </c>
      <c r="F9" s="11" cm="1">
        <f t="array" ref="F9">Linterp($B$6,atmos_h,atmos_qms)</f>
        <v>1481.4</v>
      </c>
      <c r="G9" s="10" t="s">
        <v>16</v>
      </c>
    </row>
    <row r="10" spans="1:7" ht="19.5" customHeight="1" thickBot="1" x14ac:dyDescent="0.3">
      <c r="A10" s="3"/>
      <c r="B10" s="4"/>
      <c r="C10" s="4"/>
      <c r="D10" s="6" t="s">
        <v>19</v>
      </c>
      <c r="E10" s="6" t="s">
        <v>14</v>
      </c>
      <c r="F10" s="11" cm="1">
        <f t="array" ref="F10">Linterp($B$6,atmos_h,atmos_aspeed)</f>
        <v>1116.46</v>
      </c>
      <c r="G10" s="7" t="s">
        <v>7</v>
      </c>
    </row>
    <row r="11" spans="1:7" ht="19.5" customHeight="1" thickBot="1" x14ac:dyDescent="0.3">
      <c r="A11" s="3"/>
      <c r="B11" s="4"/>
      <c r="C11" s="4"/>
      <c r="D11" s="8" t="s">
        <v>20</v>
      </c>
      <c r="E11" s="6" t="s">
        <v>14</v>
      </c>
      <c r="F11" s="11" cm="1">
        <f t="array" ref="F11">Linterp($B$6,atmos_h,atmos_vela)</f>
        <v>661.45</v>
      </c>
      <c r="G11" s="7" t="s">
        <v>8</v>
      </c>
    </row>
    <row r="12" spans="1:7" ht="19.5" customHeight="1" thickBot="1" x14ac:dyDescent="0.3">
      <c r="A12" s="1"/>
      <c r="B12" s="1"/>
      <c r="C12" s="1"/>
      <c r="D12" s="1"/>
      <c r="E12" s="1"/>
      <c r="F12" s="1"/>
      <c r="G12" s="1"/>
    </row>
    <row r="13" spans="1:7" ht="19.5" customHeight="1" thickBot="1" x14ac:dyDescent="0.3">
      <c r="A13" s="3" t="s">
        <v>1</v>
      </c>
      <c r="B13" s="9">
        <v>12250</v>
      </c>
      <c r="C13" s="5" t="s">
        <v>3</v>
      </c>
      <c r="D13" s="6" t="s">
        <v>2</v>
      </c>
      <c r="E13" s="6" t="s">
        <v>12</v>
      </c>
      <c r="F13" s="11" cm="1">
        <f t="array" ref="F13">Linterp($B$13,atmos_h,atmos_rho)</f>
        <v>1.6343900000000001E-3</v>
      </c>
      <c r="G13" s="10" t="s">
        <v>15</v>
      </c>
    </row>
    <row r="14" spans="1:7" ht="19.5" customHeight="1" thickBot="1" x14ac:dyDescent="0.3">
      <c r="A14" s="3"/>
      <c r="B14" s="4"/>
      <c r="C14" s="4"/>
      <c r="D14" s="6" t="s">
        <v>4</v>
      </c>
      <c r="E14" s="6" t="s">
        <v>13</v>
      </c>
      <c r="F14" s="11" cm="1">
        <f t="array" ref="F14">Linterp($B$13,atmos_h,atmos_dr)</f>
        <v>0.68765000000000009</v>
      </c>
      <c r="G14" s="7" t="s">
        <v>6</v>
      </c>
    </row>
    <row r="15" spans="1:7" ht="19.5" customHeight="1" thickBot="1" x14ac:dyDescent="0.3">
      <c r="A15" s="3"/>
      <c r="B15" s="4"/>
      <c r="C15" s="4"/>
      <c r="D15" s="8" t="s">
        <v>5</v>
      </c>
      <c r="E15" s="6" t="s">
        <v>13</v>
      </c>
      <c r="F15" s="11" cm="1">
        <f t="array" ref="F15">Linterp($B$13,atmos_h,atmos_sqrtdr)</f>
        <v>0.82922499999999999</v>
      </c>
      <c r="G15" s="7" t="s">
        <v>6</v>
      </c>
    </row>
    <row r="16" spans="1:7" ht="19.5" customHeight="1" thickBot="1" x14ac:dyDescent="0.3">
      <c r="A16" s="3"/>
      <c r="B16" s="4"/>
      <c r="C16" s="4"/>
      <c r="D16" s="6" t="s">
        <v>0</v>
      </c>
      <c r="E16" s="6" t="s">
        <v>14</v>
      </c>
      <c r="F16" s="11" cm="1">
        <f t="array" ref="F16">Linterp($B$13,atmos_h,atmos_qms)</f>
        <v>932.82500000000005</v>
      </c>
      <c r="G16" s="10" t="s">
        <v>16</v>
      </c>
    </row>
    <row r="17" spans="1:7" ht="19.5" customHeight="1" thickBot="1" x14ac:dyDescent="0.3">
      <c r="A17" s="3"/>
      <c r="B17" s="4"/>
      <c r="C17" s="4"/>
      <c r="D17" s="6" t="s">
        <v>19</v>
      </c>
      <c r="E17" s="6" t="s">
        <v>14</v>
      </c>
      <c r="F17" s="11" cm="1">
        <f t="array" ref="F17">Linterp($B$13,atmos_h,atmos_aspeed)</f>
        <v>1068.3975</v>
      </c>
      <c r="G17" s="7" t="s">
        <v>7</v>
      </c>
    </row>
    <row r="18" spans="1:7" ht="19.5" customHeight="1" thickBot="1" x14ac:dyDescent="0.3">
      <c r="A18" s="3"/>
      <c r="B18" s="4"/>
      <c r="C18" s="4"/>
      <c r="D18" s="8" t="s">
        <v>20</v>
      </c>
      <c r="E18" s="6" t="s">
        <v>14</v>
      </c>
      <c r="F18" s="11" cm="1">
        <f t="array" ref="F18">Linterp($B$13,atmos_h,atmos_vela)</f>
        <v>632.98</v>
      </c>
      <c r="G18" s="7" t="s">
        <v>8</v>
      </c>
    </row>
    <row r="19" spans="1:7" ht="19.5" customHeight="1" thickBot="1" x14ac:dyDescent="0.3">
      <c r="A19" s="1"/>
      <c r="B19" s="1"/>
      <c r="C19" s="1"/>
      <c r="D19" s="1"/>
      <c r="E19" s="1"/>
      <c r="F19" s="1"/>
      <c r="G19" s="1"/>
    </row>
    <row r="20" spans="1:7" ht="19.5" customHeight="1" thickBot="1" x14ac:dyDescent="0.3">
      <c r="A20" s="3" t="s">
        <v>1</v>
      </c>
      <c r="B20" s="9">
        <v>15000</v>
      </c>
      <c r="C20" s="5" t="s">
        <v>3</v>
      </c>
      <c r="D20" s="6" t="s">
        <v>2</v>
      </c>
      <c r="E20" s="6" t="s">
        <v>12</v>
      </c>
      <c r="F20" s="11" cm="1">
        <f t="array" ref="F20">Linterp($B$20,atmos_h,atmos_rho)</f>
        <v>1.4957600000000001E-3</v>
      </c>
      <c r="G20" s="10" t="s">
        <v>15</v>
      </c>
    </row>
    <row r="21" spans="1:7" ht="19.5" customHeight="1" thickBot="1" x14ac:dyDescent="0.3">
      <c r="A21" s="3"/>
      <c r="B21" s="4"/>
      <c r="C21" s="4"/>
      <c r="D21" s="6" t="s">
        <v>4</v>
      </c>
      <c r="E21" s="6" t="s">
        <v>13</v>
      </c>
      <c r="F21" s="11" cm="1">
        <f t="array" ref="F21">Linterp($B$20,atmos_h,atmos_dr)</f>
        <v>0.62929999999999997</v>
      </c>
      <c r="G21" s="7" t="s">
        <v>6</v>
      </c>
    </row>
    <row r="22" spans="1:7" ht="19.5" customHeight="1" thickBot="1" x14ac:dyDescent="0.3">
      <c r="A22" s="3"/>
      <c r="B22" s="4"/>
      <c r="C22" s="4"/>
      <c r="D22" s="8" t="s">
        <v>5</v>
      </c>
      <c r="E22" s="6" t="s">
        <v>13</v>
      </c>
      <c r="F22" s="11" cm="1">
        <f t="array" ref="F22">Linterp($B$20,atmos_h,atmos_sqrtdr)</f>
        <v>0.79330000000000001</v>
      </c>
      <c r="G22" s="7" t="s">
        <v>6</v>
      </c>
    </row>
    <row r="23" spans="1:7" ht="19.5" customHeight="1" thickBot="1" x14ac:dyDescent="0.3">
      <c r="A23" s="3"/>
      <c r="B23" s="4"/>
      <c r="C23" s="4"/>
      <c r="D23" s="6" t="s">
        <v>0</v>
      </c>
      <c r="E23" s="6" t="s">
        <v>14</v>
      </c>
      <c r="F23" s="11" cm="1">
        <f t="array" ref="F23">Linterp($B$20,atmos_h,atmos_qms)</f>
        <v>836.1</v>
      </c>
      <c r="G23" s="10" t="s">
        <v>16</v>
      </c>
    </row>
    <row r="24" spans="1:7" ht="19.5" customHeight="1" thickBot="1" x14ac:dyDescent="0.3">
      <c r="A24" s="3"/>
      <c r="B24" s="4"/>
      <c r="C24" s="4"/>
      <c r="D24" s="6" t="s">
        <v>19</v>
      </c>
      <c r="E24" s="6" t="s">
        <v>14</v>
      </c>
      <c r="F24" s="11" cm="1">
        <f t="array" ref="F24">Linterp($B$20,atmos_h,atmos_aspeed)</f>
        <v>1057.32</v>
      </c>
      <c r="G24" s="7" t="s">
        <v>7</v>
      </c>
    </row>
    <row r="25" spans="1:7" ht="19.5" customHeight="1" thickBot="1" x14ac:dyDescent="0.3">
      <c r="A25" s="3"/>
      <c r="B25" s="4"/>
      <c r="C25" s="4"/>
      <c r="D25" s="8" t="s">
        <v>20</v>
      </c>
      <c r="E25" s="6" t="s">
        <v>14</v>
      </c>
      <c r="F25" s="11" cm="1">
        <f t="array" ref="F25">Linterp($B$20,atmos_h,atmos_vela)</f>
        <v>626.41999999999996</v>
      </c>
      <c r="G25" s="7" t="s">
        <v>8</v>
      </c>
    </row>
    <row r="26" spans="1:7" ht="19.5" customHeight="1" thickBot="1" x14ac:dyDescent="0.3">
      <c r="A26" s="1"/>
      <c r="B26" s="1"/>
      <c r="C26" s="1"/>
      <c r="D26" s="1"/>
      <c r="E26" s="1"/>
      <c r="F26" s="1"/>
      <c r="G26" s="1"/>
    </row>
    <row r="27" spans="1:7" ht="19.5" customHeight="1" thickBot="1" x14ac:dyDescent="0.3">
      <c r="A27" s="3" t="s">
        <v>1</v>
      </c>
      <c r="B27" s="9">
        <v>22650</v>
      </c>
      <c r="C27" s="5" t="s">
        <v>3</v>
      </c>
      <c r="D27" s="6" t="s">
        <v>2</v>
      </c>
      <c r="E27" s="6" t="s">
        <v>12</v>
      </c>
      <c r="F27" s="11" cm="1">
        <f t="array" ref="F27">Linterp($B$27,atmos_h,atmos_rho)</f>
        <v>1.1564990000000001E-3</v>
      </c>
      <c r="G27" s="10" t="s">
        <v>15</v>
      </c>
    </row>
    <row r="28" spans="1:7" ht="19.5" customHeight="1" thickBot="1" x14ac:dyDescent="0.3">
      <c r="A28" s="3"/>
      <c r="B28" s="4"/>
      <c r="C28" s="4"/>
      <c r="D28" s="6" t="s">
        <v>4</v>
      </c>
      <c r="E28" s="6" t="s">
        <v>13</v>
      </c>
      <c r="F28" s="11" cm="1">
        <f t="array" ref="F28">Linterp($B$27,atmos_h,atmos_dr)</f>
        <v>0.48658000000000001</v>
      </c>
      <c r="G28" s="7" t="s">
        <v>6</v>
      </c>
    </row>
    <row r="29" spans="1:7" ht="19.5" customHeight="1" thickBot="1" x14ac:dyDescent="0.3">
      <c r="A29" s="3"/>
      <c r="B29" s="4"/>
      <c r="C29" s="4"/>
      <c r="D29" s="8" t="s">
        <v>5</v>
      </c>
      <c r="E29" s="6" t="s">
        <v>13</v>
      </c>
      <c r="F29" s="11" cm="1">
        <f t="array" ref="F29">Linterp($B$27,atmos_h,atmos_sqrtdr)</f>
        <v>0.69750000000000001</v>
      </c>
      <c r="G29" s="7" t="s">
        <v>6</v>
      </c>
    </row>
    <row r="30" spans="1:7" ht="19.5" customHeight="1" thickBot="1" x14ac:dyDescent="0.3">
      <c r="A30" s="3"/>
      <c r="B30" s="4"/>
      <c r="C30" s="4"/>
      <c r="D30" s="6" t="s">
        <v>0</v>
      </c>
      <c r="E30" s="6" t="s">
        <v>14</v>
      </c>
      <c r="F30" s="11" cm="1">
        <f t="array" ref="F30">Linterp($B$27,atmos_h,atmos_qms)</f>
        <v>608.56499999999994</v>
      </c>
      <c r="G30" s="10" t="s">
        <v>16</v>
      </c>
    </row>
    <row r="31" spans="1:7" ht="19.5" customHeight="1" thickBot="1" x14ac:dyDescent="0.3">
      <c r="A31" s="3"/>
      <c r="B31" s="4"/>
      <c r="C31" s="4"/>
      <c r="D31" s="6" t="s">
        <v>19</v>
      </c>
      <c r="E31" s="6" t="s">
        <v>14</v>
      </c>
      <c r="F31" s="11" cm="1">
        <f t="array" ref="F31">Linterp($B$27,atmos_h,atmos_aspeed)</f>
        <v>1025.855</v>
      </c>
      <c r="G31" s="7" t="s">
        <v>7</v>
      </c>
    </row>
    <row r="32" spans="1:7" ht="19.5" customHeight="1" thickBot="1" x14ac:dyDescent="0.3">
      <c r="A32" s="3"/>
      <c r="B32" s="4"/>
      <c r="C32" s="4"/>
      <c r="D32" s="8" t="s">
        <v>20</v>
      </c>
      <c r="E32" s="6" t="s">
        <v>14</v>
      </c>
      <c r="F32" s="11" cm="1">
        <f t="array" ref="F32">Linterp($B$27,atmos_h,atmos_vela)</f>
        <v>607.77049999999997</v>
      </c>
      <c r="G32" s="7" t="s">
        <v>8</v>
      </c>
    </row>
  </sheetData>
  <mergeCells count="2">
    <mergeCell ref="A2:D2"/>
    <mergeCell ref="A3:D3"/>
  </mergeCells>
  <printOptions horizontalCentered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9EB5-52D1-4ED9-B1A5-1F182AA2D3D4}">
  <dimension ref="A1:O62"/>
  <sheetViews>
    <sheetView topLeftCell="H1" workbookViewId="0">
      <selection activeCell="N2" sqref="N2:N6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6D0F23-4267-4B2F-8959-8C1FC2FF8E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HW6 - Atmosphere Table Lookup</vt:lpstr>
      <vt:lpstr>Question 1</vt:lpstr>
      <vt:lpstr>atmos_aspeed</vt:lpstr>
      <vt:lpstr>atmos_dr</vt:lpstr>
      <vt:lpstr>atmos_h</vt:lpstr>
      <vt:lpstr>atmos_qms</vt:lpstr>
      <vt:lpstr>atmos_rho</vt:lpstr>
      <vt:lpstr>atmos_sqrtdr</vt:lpstr>
      <vt:lpstr>atmos_vela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Kavouras, Benjamin (kavourbm)</cp:lastModifiedBy>
  <cp:lastPrinted>2019-02-04T21:14:53Z</cp:lastPrinted>
  <dcterms:created xsi:type="dcterms:W3CDTF">2016-01-30T23:05:58Z</dcterms:created>
  <dcterms:modified xsi:type="dcterms:W3CDTF">2024-02-01T20:43:45Z</dcterms:modified>
</cp:coreProperties>
</file>