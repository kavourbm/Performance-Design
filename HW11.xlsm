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ere\Documents\Spring24\Performance-Design\"/>
    </mc:Choice>
  </mc:AlternateContent>
  <xr:revisionPtr revIDLastSave="0" documentId="13_ncr:1_{7D280BAE-618A-4BE8-9835-467F9B94B83C}" xr6:coauthVersionLast="47" xr6:coauthVersionMax="47" xr10:uidLastSave="{00000000-0000-0000-0000-000000000000}"/>
  <bookViews>
    <workbookView xWindow="-105" yWindow="0" windowWidth="14610" windowHeight="17505" firstSheet="1" activeTab="2" xr2:uid="{00000000-000D-0000-FFFF-FFFF00000000}"/>
  </bookViews>
  <sheets>
    <sheet name="Altitude Table" sheetId="2" r:id="rId1"/>
    <sheet name="Bede BD-5J Stats" sheetId="3" r:id="rId2"/>
    <sheet name="HW11 - Climb Descent Ceiling" sheetId="4" r:id="rId3"/>
    <sheet name="Numbers (SL)" sheetId="6" r:id="rId4"/>
    <sheet name="Numbers (20 K)" sheetId="7" r:id="rId5"/>
    <sheet name="Chart C" sheetId="5" r:id="rId6"/>
    <sheet name="Chart D" sheetId="8" r:id="rId7"/>
  </sheets>
  <functionGroups builtInGroupCount="19"/>
  <definedNames>
    <definedName name="atmos_aspeed" localSheetId="6">Question_1[Speed of Sound (ft/s)]</definedName>
    <definedName name="atmos_aspeed" localSheetId="4">Question_1[Speed of Sound (ft/s)]</definedName>
    <definedName name="atmos_aspeed">Question_1[Speed of Sound (ft/s)]</definedName>
    <definedName name="atmos_dr" localSheetId="6">Question_1[Density Ratio]</definedName>
    <definedName name="atmos_dr" localSheetId="4">Question_1[Density Ratio]</definedName>
    <definedName name="atmos_dr">Question_1[Density Ratio]</definedName>
    <definedName name="atmos_h" localSheetId="6">Question_1[Altitude (ft)]</definedName>
    <definedName name="atmos_h" localSheetId="4">Question_1[Altitude (ft)]</definedName>
    <definedName name="atmos_h">Question_1[Altitude (ft)]</definedName>
    <definedName name="atmos_qms" localSheetId="6">Question_1[QMS (lb/ft^2)]</definedName>
    <definedName name="atmos_qms" localSheetId="4">Question_1[QMS (lb/ft^2)]</definedName>
    <definedName name="atmos_qms">Question_1[QMS (lb/ft^2)]</definedName>
    <definedName name="atmos_rho" localSheetId="6">Question_1[Density (slug/ft^3)]</definedName>
    <definedName name="atmos_rho" localSheetId="4">Question_1[Density (slug/ft^3)]</definedName>
    <definedName name="atmos_rho">Question_1[Density (slug/ft^3)]</definedName>
    <definedName name="atmos_sqrtdr" localSheetId="6">Question_1[SQRTDR]</definedName>
    <definedName name="atmos_sqrtdr" localSheetId="4">Question_1[SQRTDR]</definedName>
    <definedName name="atmos_sqrtdr">Question_1[SQRTDR]</definedName>
    <definedName name="atmos_vela" localSheetId="6">Question_1[Speed of Sound (knots)]</definedName>
    <definedName name="atmos_vela" localSheetId="4">Question_1[Speed of Sound (knots)]</definedName>
    <definedName name="atmos_vela">Question_1[Speed of Sound (knots)]</definedName>
    <definedName name="ceiling">'Bede BD-5J Stats'!$B$9</definedName>
    <definedName name="clflight">'Bede BD-5J Stats'!$F$6</definedName>
    <definedName name="cllanding">'Bede BD-5J Stats'!$F$8</definedName>
    <definedName name="cltakeoff">'Bede BD-5J Stats'!$F$7</definedName>
    <definedName name="ExternalData_1" localSheetId="0" hidden="1">'Altitude Table'!$A$1:$O$62</definedName>
    <definedName name="fuelmass">'Bede BD-5J Stats'!$F$3</definedName>
    <definedName name="fuelvol">'Bede BD-5J Stats'!$F$2</definedName>
    <definedName name="g">'Bede BD-5J Stats'!$B$13</definedName>
    <definedName name="maxkeas">'Bede BD-5J Stats'!$B$7</definedName>
    <definedName name="maxload">'Bede BD-5J Stats'!$B$4</definedName>
    <definedName name="maxmach">'Bede BD-5J Stats'!$B$8</definedName>
    <definedName name="maxmph">'Bede BD-5J Stats'!$B$6</definedName>
    <definedName name="maxweight">'Bede BD-5J Stats'!$F$4</definedName>
    <definedName name="minload">'Bede BD-5J Stats'!$B$5</definedName>
    <definedName name="perfweight">'Bede BD-5J Stats'!$F$5</definedName>
    <definedName name="sfcsl">'Bede BD-5J Stats'!$F$11</definedName>
    <definedName name="tsl">'Bede BD-5J Stats'!$B$11</definedName>
    <definedName name="wingarea">'Bede BD-5J Stats'!$B$3</definedName>
    <definedName name="wingspan">'Bede BD-5J Stats'!$B$2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4" l="1" a="1"/>
  <c r="H13" i="4" a="1"/>
  <c r="D13" i="4" a="1"/>
  <c r="G13" i="4" a="1"/>
  <c r="F3" i="7" a="1"/>
  <c r="F21" i="7" a="1"/>
  <c r="F33" i="7" a="1"/>
  <c r="F45" i="7" a="1"/>
  <c r="F56" i="7" a="1"/>
  <c r="F10" i="7" a="1"/>
  <c r="F16" i="7" a="1"/>
  <c r="F28" i="7" a="1"/>
  <c r="F40" i="7" a="1"/>
  <c r="F52" i="7" a="1"/>
  <c r="F14" i="7" a="1"/>
  <c r="F4" i="7" a="1"/>
  <c r="F22" i="7" a="1"/>
  <c r="F34" i="7" a="1"/>
  <c r="F46" i="7" a="1"/>
  <c r="F20" i="7" a="1"/>
  <c r="F11" i="7" a="1"/>
  <c r="F17" i="7" a="1"/>
  <c r="F29" i="7" a="1"/>
  <c r="F41" i="7" a="1"/>
  <c r="F53" i="7" a="1"/>
  <c r="F38" i="7" a="1"/>
  <c r="F5" i="7" a="1"/>
  <c r="F23" i="7" a="1"/>
  <c r="F35" i="7" a="1"/>
  <c r="F47" i="7" a="1"/>
  <c r="F32" i="7" a="1"/>
  <c r="F12" i="7" a="1"/>
  <c r="F18" i="7" a="1"/>
  <c r="F30" i="7" a="1"/>
  <c r="F42" i="7" a="1"/>
  <c r="F54" i="7" a="1"/>
  <c r="F6" i="7" a="1"/>
  <c r="F24" i="7" a="1"/>
  <c r="F36" i="7" a="1"/>
  <c r="F48" i="7" a="1"/>
  <c r="F50" i="7" a="1"/>
  <c r="F13" i="7" a="1"/>
  <c r="F25" i="7" a="1"/>
  <c r="F37" i="7" a="1"/>
  <c r="F49" i="7" a="1"/>
  <c r="F44" i="7" a="1"/>
  <c r="F7" i="7" a="1"/>
  <c r="F19" i="7" a="1"/>
  <c r="F31" i="7" a="1"/>
  <c r="F43" i="7" a="1"/>
  <c r="F55" i="7" a="1"/>
  <c r="F8" i="7" a="1"/>
  <c r="F9" i="7" a="1"/>
  <c r="F15" i="7" a="1"/>
  <c r="F27" i="7" a="1"/>
  <c r="F39" i="7" a="1"/>
  <c r="F51" i="7" a="1"/>
  <c r="F26" i="7" a="1"/>
  <c r="F2" i="7" a="1"/>
  <c r="F17" i="6" a="1"/>
  <c r="F23" i="6" a="1"/>
  <c r="F29" i="6" a="1"/>
  <c r="F35" i="6" a="1"/>
  <c r="F47" i="6" a="1"/>
  <c r="F53" i="6" a="1"/>
  <c r="F18" i="6" a="1"/>
  <c r="F24" i="6" a="1"/>
  <c r="F30" i="6" a="1"/>
  <c r="F36" i="6" a="1"/>
  <c r="F42" i="6" a="1"/>
  <c r="F48" i="6" a="1"/>
  <c r="F54" i="6" a="1"/>
  <c r="F19" i="6" a="1"/>
  <c r="F31" i="6" a="1"/>
  <c r="F37" i="6" a="1"/>
  <c r="F43" i="6" a="1"/>
  <c r="F49" i="6" a="1"/>
  <c r="F55" i="6" a="1"/>
  <c r="F25" i="6" a="1"/>
  <c r="F44" i="6" a="1"/>
  <c r="F20" i="6" a="1"/>
  <c r="F26" i="6" a="1"/>
  <c r="F32" i="6" a="1"/>
  <c r="F38" i="6" a="1"/>
  <c r="F50" i="6" a="1"/>
  <c r="F56" i="6" a="1"/>
  <c r="F46" i="6" a="1"/>
  <c r="F28" i="6" a="1"/>
  <c r="F21" i="6" a="1"/>
  <c r="F27" i="6" a="1"/>
  <c r="F33" i="6" a="1"/>
  <c r="F39" i="6" a="1"/>
  <c r="F45" i="6" a="1"/>
  <c r="F51" i="6" a="1"/>
  <c r="F22" i="6" a="1"/>
  <c r="F34" i="6" a="1"/>
  <c r="F40" i="6" a="1"/>
  <c r="F52" i="6" a="1"/>
  <c r="F41" i="6" a="1"/>
  <c r="F3" i="6" a="1"/>
  <c r="F15" i="6" a="1"/>
  <c r="F4" i="6" a="1"/>
  <c r="F10" i="6" a="1"/>
  <c r="F16" i="6" a="1"/>
  <c r="F5" i="6" a="1"/>
  <c r="F11" i="6" a="1"/>
  <c r="F14" i="6" a="1"/>
  <c r="F6" i="6" a="1"/>
  <c r="F12" i="6" a="1"/>
  <c r="F7" i="6" a="1"/>
  <c r="F13" i="6" a="1"/>
  <c r="F8" i="6" a="1"/>
  <c r="F9" i="6" a="1"/>
  <c r="F2" i="6" a="1"/>
  <c r="B3" i="7" a="1"/>
  <c r="B7" i="7" a="1"/>
  <c r="B11" i="7" a="1"/>
  <c r="B15" i="7" a="1"/>
  <c r="B19" i="7" a="1"/>
  <c r="B23" i="7" a="1"/>
  <c r="B27" i="7" a="1"/>
  <c r="B31" i="7" a="1"/>
  <c r="B35" i="7" a="1"/>
  <c r="B39" i="7" a="1"/>
  <c r="B43" i="7" a="1"/>
  <c r="B47" i="7" a="1"/>
  <c r="B51" i="7" a="1"/>
  <c r="B55" i="7" a="1"/>
  <c r="B28" i="7" a="1"/>
  <c r="B48" i="7" a="1"/>
  <c r="B12" i="7" a="1"/>
  <c r="B20" i="7" a="1"/>
  <c r="B6" i="7" a="1"/>
  <c r="B10" i="7" a="1"/>
  <c r="B14" i="7" a="1"/>
  <c r="B18" i="7" a="1"/>
  <c r="B22" i="7" a="1"/>
  <c r="B26" i="7" a="1"/>
  <c r="B30" i="7" a="1"/>
  <c r="B34" i="7" a="1"/>
  <c r="B38" i="7" a="1"/>
  <c r="B42" i="7" a="1"/>
  <c r="B46" i="7" a="1"/>
  <c r="B50" i="7" a="1"/>
  <c r="B54" i="7" a="1"/>
  <c r="B52" i="7" a="1"/>
  <c r="B36" i="7" a="1"/>
  <c r="B5" i="7" a="1"/>
  <c r="B9" i="7" a="1"/>
  <c r="B13" i="7" a="1"/>
  <c r="B17" i="7" a="1"/>
  <c r="B21" i="7" a="1"/>
  <c r="B25" i="7" a="1"/>
  <c r="B29" i="7" a="1"/>
  <c r="B33" i="7" a="1"/>
  <c r="B37" i="7" a="1"/>
  <c r="B41" i="7" a="1"/>
  <c r="B45" i="7" a="1"/>
  <c r="B49" i="7" a="1"/>
  <c r="B53" i="7" a="1"/>
  <c r="B56" i="7" a="1"/>
  <c r="B4" i="7" a="1"/>
  <c r="B32" i="7" a="1"/>
  <c r="B16" i="7" a="1"/>
  <c r="B24" i="7" a="1"/>
  <c r="B44" i="7" a="1"/>
  <c r="B8" i="7" a="1"/>
  <c r="B40" i="7" a="1"/>
  <c r="E2" i="7" a="1"/>
  <c r="D2" i="7" a="1"/>
  <c r="B2" i="7" a="1"/>
  <c r="E3" i="6" a="1"/>
  <c r="E15" i="6" a="1"/>
  <c r="E21" i="6" a="1"/>
  <c r="E27" i="6" a="1"/>
  <c r="E33" i="6" a="1"/>
  <c r="E45" i="6" a="1"/>
  <c r="E51" i="6" a="1"/>
  <c r="E44" i="6" a="1"/>
  <c r="E10" i="6" a="1"/>
  <c r="E46" i="6" a="1"/>
  <c r="E20" i="6" a="1"/>
  <c r="E4" i="6" a="1"/>
  <c r="E16" i="6" a="1"/>
  <c r="E22" i="6" a="1"/>
  <c r="E28" i="6" a="1"/>
  <c r="E34" i="6" a="1"/>
  <c r="E40" i="6" a="1"/>
  <c r="E52" i="6" a="1"/>
  <c r="E38" i="6" a="1"/>
  <c r="E11" i="6" a="1"/>
  <c r="E47" i="6" a="1"/>
  <c r="E32" i="6" a="1"/>
  <c r="E5" i="6" a="1"/>
  <c r="E17" i="6" a="1"/>
  <c r="E23" i="6" a="1"/>
  <c r="E29" i="6" a="1"/>
  <c r="E35" i="6" a="1"/>
  <c r="E41" i="6" a="1"/>
  <c r="E53" i="6" a="1"/>
  <c r="E50" i="6" a="1"/>
  <c r="E12" i="6" a="1"/>
  <c r="E54" i="6" a="1"/>
  <c r="E6" i="6" a="1"/>
  <c r="E18" i="6" a="1"/>
  <c r="E24" i="6" a="1"/>
  <c r="E30" i="6" a="1"/>
  <c r="E36" i="6" a="1"/>
  <c r="E42" i="6" a="1"/>
  <c r="E48" i="6" a="1"/>
  <c r="E56" i="6" a="1"/>
  <c r="E13" i="6" a="1"/>
  <c r="E49" i="6" a="1"/>
  <c r="E14" i="6" a="1"/>
  <c r="E7" i="6" a="1"/>
  <c r="E19" i="6" a="1"/>
  <c r="E25" i="6" a="1"/>
  <c r="E31" i="6" a="1"/>
  <c r="E37" i="6" a="1"/>
  <c r="E43" i="6" a="1"/>
  <c r="E55" i="6" a="1"/>
  <c r="E8" i="6" a="1"/>
  <c r="E9" i="6" a="1"/>
  <c r="E39" i="6" a="1"/>
  <c r="E26" i="6" a="1"/>
  <c r="E2" i="6" a="1"/>
  <c r="D3" i="6" a="1"/>
  <c r="D9" i="6" a="1"/>
  <c r="D15" i="6" a="1"/>
  <c r="D21" i="6" a="1"/>
  <c r="D27" i="6" a="1"/>
  <c r="D33" i="6" a="1"/>
  <c r="D39" i="6" a="1"/>
  <c r="D45" i="6" a="1"/>
  <c r="D51" i="6" a="1"/>
  <c r="D50" i="6" a="1"/>
  <c r="D40" i="6" a="1"/>
  <c r="D32" i="6" a="1"/>
  <c r="D4" i="6" a="1"/>
  <c r="D10" i="6" a="1"/>
  <c r="D16" i="6" a="1"/>
  <c r="D22" i="6" a="1"/>
  <c r="D28" i="6" a="1"/>
  <c r="D34" i="6" a="1"/>
  <c r="D46" i="6" a="1"/>
  <c r="D52" i="6" a="1"/>
  <c r="D48" i="6" a="1"/>
  <c r="D41" i="6" a="1"/>
  <c r="D38" i="6" a="1"/>
  <c r="D5" i="6" a="1"/>
  <c r="D11" i="6" a="1"/>
  <c r="D17" i="6" a="1"/>
  <c r="D23" i="6" a="1"/>
  <c r="D29" i="6" a="1"/>
  <c r="D35" i="6" a="1"/>
  <c r="D47" i="6" a="1"/>
  <c r="D53" i="6" a="1"/>
  <c r="D44" i="6" a="1"/>
  <c r="D12" i="6" a="1"/>
  <c r="D6" i="6" a="1"/>
  <c r="D18" i="6" a="1"/>
  <c r="D24" i="6" a="1"/>
  <c r="D30" i="6" a="1"/>
  <c r="D36" i="6" a="1"/>
  <c r="D54" i="6" a="1"/>
  <c r="D13" i="6" a="1"/>
  <c r="D37" i="6" a="1"/>
  <c r="D55" i="6" a="1"/>
  <c r="D56" i="6" a="1"/>
  <c r="D7" i="6" a="1"/>
  <c r="D19" i="6" a="1"/>
  <c r="D25" i="6" a="1"/>
  <c r="D31" i="6" a="1"/>
  <c r="D43" i="6" a="1"/>
  <c r="D49" i="6" a="1"/>
  <c r="D8" i="6" a="1"/>
  <c r="D14" i="6" a="1"/>
  <c r="D20" i="6" a="1"/>
  <c r="D26" i="6" a="1"/>
  <c r="D42" i="6" a="1"/>
  <c r="D2" i="6" a="1"/>
  <c r="B51" i="6" a="1"/>
  <c r="B52" i="6" a="1"/>
  <c r="B53" i="6" a="1"/>
  <c r="B54" i="6" a="1"/>
  <c r="B55" i="6" a="1"/>
  <c r="B56" i="6" a="1"/>
  <c r="B17" i="6" a="1"/>
  <c r="B29" i="6" a="1"/>
  <c r="B35" i="6" a="1"/>
  <c r="B47" i="6" a="1"/>
  <c r="B43" i="6" a="1"/>
  <c r="B18" i="6" a="1"/>
  <c r="B24" i="6" a="1"/>
  <c r="B30" i="6" a="1"/>
  <c r="B36" i="6" a="1"/>
  <c r="B42" i="6" a="1"/>
  <c r="B48" i="6" a="1"/>
  <c r="B49" i="6" a="1"/>
  <c r="B28" i="6" a="1"/>
  <c r="B37" i="6" a="1"/>
  <c r="B19" i="6" a="1"/>
  <c r="B25" i="6" a="1"/>
  <c r="B31" i="6" a="1"/>
  <c r="B26" i="6" a="1"/>
  <c r="B40" i="6" a="1"/>
  <c r="B20" i="6" a="1"/>
  <c r="B32" i="6" a="1"/>
  <c r="B38" i="6" a="1"/>
  <c r="B44" i="6" a="1"/>
  <c r="B50" i="6" a="1"/>
  <c r="B34" i="6" a="1"/>
  <c r="B27" i="6" a="1"/>
  <c r="B45" i="6" a="1"/>
  <c r="B22" i="6" a="1"/>
  <c r="B21" i="6" a="1"/>
  <c r="B33" i="6" a="1"/>
  <c r="B39" i="6" a="1"/>
  <c r="B23" i="6" a="1"/>
  <c r="B41" i="6" a="1"/>
  <c r="B46" i="6" a="1"/>
  <c r="B2" i="6" a="1"/>
  <c r="B3" i="6" a="1"/>
  <c r="B9" i="6" a="1"/>
  <c r="B15" i="6" a="1"/>
  <c r="B10" i="6" a="1"/>
  <c r="B16" i="6" a="1"/>
  <c r="B4" i="6" a="1"/>
  <c r="B11" i="6" a="1"/>
  <c r="B5" i="6" a="1"/>
  <c r="B12" i="6" a="1"/>
  <c r="B13" i="6" a="1"/>
  <c r="B6" i="6" a="1"/>
  <c r="B7" i="6" a="1"/>
  <c r="B8" i="6" a="1"/>
  <c r="B14" i="6" a="1"/>
  <c r="E6" i="4" a="1"/>
  <c r="D6" i="4" l="1"/>
  <c r="D24" i="4" s="1"/>
  <c r="H13" i="4"/>
  <c r="D13" i="4"/>
  <c r="G13" i="4"/>
  <c r="F26" i="7"/>
  <c r="F51" i="7"/>
  <c r="F39" i="7"/>
  <c r="F27" i="7"/>
  <c r="F15" i="7"/>
  <c r="F9" i="7"/>
  <c r="F8" i="7"/>
  <c r="F55" i="7"/>
  <c r="F43" i="7"/>
  <c r="F31" i="7"/>
  <c r="F19" i="7"/>
  <c r="F7" i="7"/>
  <c r="F44" i="7"/>
  <c r="F49" i="7"/>
  <c r="F37" i="7"/>
  <c r="F25" i="7"/>
  <c r="F13" i="7"/>
  <c r="F50" i="7"/>
  <c r="F48" i="7"/>
  <c r="F36" i="7"/>
  <c r="F24" i="7"/>
  <c r="F6" i="7"/>
  <c r="F54" i="7"/>
  <c r="F42" i="7"/>
  <c r="F30" i="7"/>
  <c r="F18" i="7"/>
  <c r="F12" i="7"/>
  <c r="F32" i="7"/>
  <c r="F47" i="7"/>
  <c r="F35" i="7"/>
  <c r="F23" i="7"/>
  <c r="F5" i="7"/>
  <c r="F38" i="7"/>
  <c r="F53" i="7"/>
  <c r="F41" i="7"/>
  <c r="F29" i="7"/>
  <c r="F17" i="7"/>
  <c r="F11" i="7"/>
  <c r="F20" i="7"/>
  <c r="F46" i="7"/>
  <c r="F34" i="7"/>
  <c r="F22" i="7"/>
  <c r="F4" i="7"/>
  <c r="F14" i="7"/>
  <c r="F52" i="7"/>
  <c r="F40" i="7"/>
  <c r="F28" i="7"/>
  <c r="F16" i="7"/>
  <c r="F10" i="7"/>
  <c r="F56" i="7"/>
  <c r="F45" i="7"/>
  <c r="F33" i="7"/>
  <c r="F21" i="7"/>
  <c r="F3" i="7"/>
  <c r="F2" i="7"/>
  <c r="F41" i="6"/>
  <c r="F52" i="6"/>
  <c r="F40" i="6"/>
  <c r="F34" i="6"/>
  <c r="F22" i="6"/>
  <c r="F51" i="6"/>
  <c r="F45" i="6"/>
  <c r="F39" i="6"/>
  <c r="F33" i="6"/>
  <c r="F27" i="6"/>
  <c r="F21" i="6"/>
  <c r="F28" i="6"/>
  <c r="F46" i="6"/>
  <c r="F56" i="6"/>
  <c r="F50" i="6"/>
  <c r="F38" i="6"/>
  <c r="F32" i="6"/>
  <c r="F26" i="6"/>
  <c r="F20" i="6"/>
  <c r="F44" i="6"/>
  <c r="F25" i="6"/>
  <c r="F55" i="6"/>
  <c r="F49" i="6"/>
  <c r="F43" i="6"/>
  <c r="F37" i="6"/>
  <c r="F31" i="6"/>
  <c r="F19" i="6"/>
  <c r="F54" i="6"/>
  <c r="F48" i="6"/>
  <c r="F42" i="6"/>
  <c r="F36" i="6"/>
  <c r="F30" i="6"/>
  <c r="F24" i="6"/>
  <c r="F18" i="6"/>
  <c r="F53" i="6"/>
  <c r="F47" i="6"/>
  <c r="F35" i="6"/>
  <c r="F29" i="6"/>
  <c r="F23" i="6"/>
  <c r="F17" i="6"/>
  <c r="F9" i="6"/>
  <c r="F8" i="6"/>
  <c r="F13" i="6"/>
  <c r="F7" i="6"/>
  <c r="F12" i="6"/>
  <c r="F6" i="6"/>
  <c r="F14" i="6"/>
  <c r="F11" i="6"/>
  <c r="F5" i="6"/>
  <c r="F16" i="6"/>
  <c r="F10" i="6"/>
  <c r="F4" i="6"/>
  <c r="F15" i="6"/>
  <c r="F3" i="6"/>
  <c r="F2" i="6"/>
  <c r="B40" i="7"/>
  <c r="C40" i="7" s="1"/>
  <c r="B8" i="7"/>
  <c r="C8" i="7" s="1"/>
  <c r="B44" i="7"/>
  <c r="C44" i="7" s="1"/>
  <c r="B24" i="7"/>
  <c r="C24" i="7" s="1"/>
  <c r="B16" i="7"/>
  <c r="C16" i="7" s="1"/>
  <c r="B32" i="7"/>
  <c r="C32" i="7" s="1"/>
  <c r="B4" i="7"/>
  <c r="C4" i="7" s="1"/>
  <c r="B56" i="7"/>
  <c r="C56" i="7" s="1"/>
  <c r="B53" i="7"/>
  <c r="C53" i="7" s="1"/>
  <c r="B49" i="7"/>
  <c r="C49" i="7" s="1"/>
  <c r="B45" i="7"/>
  <c r="C45" i="7" s="1"/>
  <c r="B41" i="7"/>
  <c r="C41" i="7" s="1"/>
  <c r="B37" i="7"/>
  <c r="C37" i="7" s="1"/>
  <c r="B33" i="7"/>
  <c r="C33" i="7" s="1"/>
  <c r="B29" i="7"/>
  <c r="C29" i="7" s="1"/>
  <c r="B25" i="7"/>
  <c r="C25" i="7" s="1"/>
  <c r="B21" i="7"/>
  <c r="C21" i="7" s="1"/>
  <c r="B17" i="7"/>
  <c r="C17" i="7" s="1"/>
  <c r="B13" i="7"/>
  <c r="C13" i="7" s="1"/>
  <c r="B9" i="7"/>
  <c r="C9" i="7" s="1"/>
  <c r="B5" i="7"/>
  <c r="C5" i="7" s="1"/>
  <c r="B36" i="7"/>
  <c r="C36" i="7" s="1"/>
  <c r="B52" i="7"/>
  <c r="C52" i="7" s="1"/>
  <c r="B54" i="7"/>
  <c r="C54" i="7" s="1"/>
  <c r="B50" i="7"/>
  <c r="C50" i="7" s="1"/>
  <c r="B46" i="7"/>
  <c r="C46" i="7" s="1"/>
  <c r="B42" i="7"/>
  <c r="C42" i="7" s="1"/>
  <c r="B38" i="7"/>
  <c r="C38" i="7" s="1"/>
  <c r="B34" i="7"/>
  <c r="C34" i="7" s="1"/>
  <c r="B30" i="7"/>
  <c r="C30" i="7" s="1"/>
  <c r="B26" i="7"/>
  <c r="C26" i="7" s="1"/>
  <c r="B22" i="7"/>
  <c r="C22" i="7" s="1"/>
  <c r="B18" i="7"/>
  <c r="C18" i="7" s="1"/>
  <c r="B14" i="7"/>
  <c r="C14" i="7" s="1"/>
  <c r="B10" i="7"/>
  <c r="C10" i="7" s="1"/>
  <c r="B6" i="7"/>
  <c r="C6" i="7" s="1"/>
  <c r="B20" i="7"/>
  <c r="C20" i="7" s="1"/>
  <c r="B12" i="7"/>
  <c r="C12" i="7" s="1"/>
  <c r="B48" i="7"/>
  <c r="C48" i="7" s="1"/>
  <c r="B28" i="7"/>
  <c r="C28" i="7" s="1"/>
  <c r="B55" i="7"/>
  <c r="C55" i="7" s="1"/>
  <c r="B51" i="7"/>
  <c r="C51" i="7" s="1"/>
  <c r="B47" i="7"/>
  <c r="C47" i="7" s="1"/>
  <c r="B43" i="7"/>
  <c r="C43" i="7" s="1"/>
  <c r="B39" i="7"/>
  <c r="C39" i="7" s="1"/>
  <c r="B35" i="7"/>
  <c r="C35" i="7" s="1"/>
  <c r="B31" i="7"/>
  <c r="C31" i="7" s="1"/>
  <c r="B27" i="7"/>
  <c r="C27" i="7" s="1"/>
  <c r="B23" i="7"/>
  <c r="C23" i="7" s="1"/>
  <c r="B19" i="7"/>
  <c r="C19" i="7" s="1"/>
  <c r="B15" i="7"/>
  <c r="C15" i="7" s="1"/>
  <c r="B11" i="7"/>
  <c r="C11" i="7" s="1"/>
  <c r="B7" i="7"/>
  <c r="C7" i="7" s="1"/>
  <c r="B3" i="7"/>
  <c r="C3" i="7" s="1"/>
  <c r="E2" i="7"/>
  <c r="D2" i="7"/>
  <c r="B2" i="7"/>
  <c r="C2" i="7" s="1"/>
  <c r="E26" i="6"/>
  <c r="E39" i="6"/>
  <c r="E9" i="6"/>
  <c r="E8" i="6"/>
  <c r="E55" i="6"/>
  <c r="E43" i="6"/>
  <c r="E37" i="6"/>
  <c r="E31" i="6"/>
  <c r="E25" i="6"/>
  <c r="E19" i="6"/>
  <c r="E7" i="6"/>
  <c r="E14" i="6"/>
  <c r="E49" i="6"/>
  <c r="E13" i="6"/>
  <c r="E56" i="6"/>
  <c r="E48" i="6"/>
  <c r="E42" i="6"/>
  <c r="E36" i="6"/>
  <c r="E30" i="6"/>
  <c r="E24" i="6"/>
  <c r="E18" i="6"/>
  <c r="E6" i="6"/>
  <c r="E54" i="6"/>
  <c r="E12" i="6"/>
  <c r="E50" i="6"/>
  <c r="E53" i="6"/>
  <c r="E41" i="6"/>
  <c r="E35" i="6"/>
  <c r="E29" i="6"/>
  <c r="E23" i="6"/>
  <c r="E17" i="6"/>
  <c r="E5" i="6"/>
  <c r="E32" i="6"/>
  <c r="E47" i="6"/>
  <c r="E11" i="6"/>
  <c r="E38" i="6"/>
  <c r="E52" i="6"/>
  <c r="E40" i="6"/>
  <c r="E34" i="6"/>
  <c r="E28" i="6"/>
  <c r="E22" i="6"/>
  <c r="E16" i="6"/>
  <c r="E4" i="6"/>
  <c r="E20" i="6"/>
  <c r="E46" i="6"/>
  <c r="E10" i="6"/>
  <c r="E44" i="6"/>
  <c r="E51" i="6"/>
  <c r="E45" i="6"/>
  <c r="E33" i="6"/>
  <c r="E27" i="6"/>
  <c r="E21" i="6"/>
  <c r="E15" i="6"/>
  <c r="E3" i="6"/>
  <c r="E2" i="6"/>
  <c r="D42" i="6"/>
  <c r="D26" i="6"/>
  <c r="D20" i="6"/>
  <c r="D14" i="6"/>
  <c r="D8" i="6"/>
  <c r="D49" i="6"/>
  <c r="D43" i="6"/>
  <c r="D31" i="6"/>
  <c r="D25" i="6"/>
  <c r="D19" i="6"/>
  <c r="D7" i="6"/>
  <c r="D56" i="6"/>
  <c r="D55" i="6"/>
  <c r="D37" i="6"/>
  <c r="D13" i="6"/>
  <c r="D54" i="6"/>
  <c r="D36" i="6"/>
  <c r="D30" i="6"/>
  <c r="D24" i="6"/>
  <c r="D18" i="6"/>
  <c r="D6" i="6"/>
  <c r="D12" i="6"/>
  <c r="D44" i="6"/>
  <c r="D53" i="6"/>
  <c r="D47" i="6"/>
  <c r="D35" i="6"/>
  <c r="D29" i="6"/>
  <c r="D23" i="6"/>
  <c r="D17" i="6"/>
  <c r="D11" i="6"/>
  <c r="D5" i="6"/>
  <c r="D38" i="6"/>
  <c r="D41" i="6"/>
  <c r="D48" i="6"/>
  <c r="D52" i="6"/>
  <c r="D46" i="6"/>
  <c r="D34" i="6"/>
  <c r="D28" i="6"/>
  <c r="D22" i="6"/>
  <c r="D16" i="6"/>
  <c r="D10" i="6"/>
  <c r="D4" i="6"/>
  <c r="D32" i="6"/>
  <c r="D40" i="6"/>
  <c r="D50" i="6"/>
  <c r="D51" i="6"/>
  <c r="D45" i="6"/>
  <c r="D39" i="6"/>
  <c r="D33" i="6"/>
  <c r="D27" i="6"/>
  <c r="D21" i="6"/>
  <c r="D15" i="6"/>
  <c r="D9" i="6"/>
  <c r="D3" i="6"/>
  <c r="D2" i="6"/>
  <c r="B56" i="6"/>
  <c r="C56" i="6" s="1"/>
  <c r="B55" i="6"/>
  <c r="C55" i="6" s="1"/>
  <c r="B54" i="6"/>
  <c r="C54" i="6" s="1"/>
  <c r="B53" i="6"/>
  <c r="C53" i="6" s="1"/>
  <c r="B52" i="6"/>
  <c r="C52" i="6" s="1"/>
  <c r="B51" i="6"/>
  <c r="C51" i="6" s="1"/>
  <c r="B46" i="6"/>
  <c r="C46" i="6" s="1"/>
  <c r="B41" i="6"/>
  <c r="C41" i="6" s="1"/>
  <c r="B23" i="6"/>
  <c r="C23" i="6" s="1"/>
  <c r="B39" i="6"/>
  <c r="C39" i="6" s="1"/>
  <c r="B33" i="6"/>
  <c r="C33" i="6" s="1"/>
  <c r="B21" i="6"/>
  <c r="C21" i="6" s="1"/>
  <c r="B22" i="6"/>
  <c r="C22" i="6" s="1"/>
  <c r="B45" i="6"/>
  <c r="C45" i="6" s="1"/>
  <c r="B27" i="6"/>
  <c r="C27" i="6" s="1"/>
  <c r="B34" i="6"/>
  <c r="C34" i="6" s="1"/>
  <c r="B50" i="6"/>
  <c r="C50" i="6" s="1"/>
  <c r="B44" i="6"/>
  <c r="C44" i="6" s="1"/>
  <c r="B38" i="6"/>
  <c r="C38" i="6" s="1"/>
  <c r="B32" i="6"/>
  <c r="C32" i="6" s="1"/>
  <c r="B20" i="6"/>
  <c r="C20" i="6" s="1"/>
  <c r="B40" i="6"/>
  <c r="C40" i="6" s="1"/>
  <c r="B26" i="6"/>
  <c r="C26" i="6" s="1"/>
  <c r="B31" i="6"/>
  <c r="C31" i="6" s="1"/>
  <c r="B25" i="6"/>
  <c r="C25" i="6" s="1"/>
  <c r="B19" i="6"/>
  <c r="C19" i="6" s="1"/>
  <c r="B37" i="6"/>
  <c r="C37" i="6" s="1"/>
  <c r="B28" i="6"/>
  <c r="C28" i="6" s="1"/>
  <c r="B49" i="6"/>
  <c r="C49" i="6" s="1"/>
  <c r="B48" i="6"/>
  <c r="C48" i="6" s="1"/>
  <c r="B42" i="6"/>
  <c r="C42" i="6" s="1"/>
  <c r="B36" i="6"/>
  <c r="C36" i="6" s="1"/>
  <c r="B30" i="6"/>
  <c r="C30" i="6" s="1"/>
  <c r="B24" i="6"/>
  <c r="C24" i="6" s="1"/>
  <c r="B18" i="6"/>
  <c r="C18" i="6" s="1"/>
  <c r="B43" i="6"/>
  <c r="C43" i="6" s="1"/>
  <c r="B47" i="6"/>
  <c r="C47" i="6" s="1"/>
  <c r="B35" i="6"/>
  <c r="C35" i="6" s="1"/>
  <c r="B29" i="6"/>
  <c r="C29" i="6" s="1"/>
  <c r="B17" i="6"/>
  <c r="C17" i="6" s="1"/>
  <c r="B14" i="6"/>
  <c r="C14" i="6" s="1"/>
  <c r="B8" i="6"/>
  <c r="C8" i="6" s="1"/>
  <c r="B7" i="6"/>
  <c r="C7" i="6" s="1"/>
  <c r="B6" i="6"/>
  <c r="C6" i="6" s="1"/>
  <c r="B13" i="6"/>
  <c r="C13" i="6" s="1"/>
  <c r="B12" i="6"/>
  <c r="C12" i="6" s="1"/>
  <c r="B5" i="6"/>
  <c r="C5" i="6" s="1"/>
  <c r="B11" i="6"/>
  <c r="C11" i="6" s="1"/>
  <c r="B4" i="6"/>
  <c r="C4" i="6" s="1"/>
  <c r="B16" i="6"/>
  <c r="C16" i="6" s="1"/>
  <c r="B10" i="6"/>
  <c r="C10" i="6" s="1"/>
  <c r="B15" i="6"/>
  <c r="C15" i="6" s="1"/>
  <c r="B9" i="6"/>
  <c r="C9" i="6" s="1"/>
  <c r="B3" i="6"/>
  <c r="C3" i="6" s="1"/>
  <c r="B2" i="6"/>
  <c r="C2" i="6" s="1"/>
  <c r="E6" i="4"/>
  <c r="E13" i="4" a="1"/>
  <c r="D40" i="7" a="1"/>
  <c r="D37" i="7" a="1"/>
  <c r="D50" i="7" a="1"/>
  <c r="D20" i="7" a="1"/>
  <c r="D23" i="7" a="1"/>
  <c r="D8" i="7" a="1"/>
  <c r="D33" i="7" a="1"/>
  <c r="D46" i="7" a="1"/>
  <c r="D12" i="7" a="1"/>
  <c r="D19" i="7" a="1"/>
  <c r="D44" i="7" a="1"/>
  <c r="D29" i="7" a="1"/>
  <c r="D42" i="7" a="1"/>
  <c r="D48" i="7" a="1"/>
  <c r="D15" i="7" a="1"/>
  <c r="D31" i="7" a="1"/>
  <c r="D24" i="7" a="1"/>
  <c r="D25" i="7" a="1"/>
  <c r="D38" i="7" a="1"/>
  <c r="D28" i="7" a="1"/>
  <c r="D11" i="7" a="1"/>
  <c r="D16" i="7" a="1"/>
  <c r="D21" i="7" a="1"/>
  <c r="D34" i="7" a="1"/>
  <c r="D55" i="7" a="1"/>
  <c r="D7" i="7" a="1"/>
  <c r="D32" i="7" a="1"/>
  <c r="D17" i="7" a="1"/>
  <c r="D30" i="7" a="1"/>
  <c r="D51" i="7" a="1"/>
  <c r="D3" i="7" a="1"/>
  <c r="D4" i="7" a="1"/>
  <c r="D13" i="7" a="1"/>
  <c r="D26" i="7" a="1"/>
  <c r="D47" i="7" a="1"/>
  <c r="D56" i="7" a="1"/>
  <c r="D9" i="7" a="1"/>
  <c r="D22" i="7" a="1"/>
  <c r="D43" i="7" a="1"/>
  <c r="D10" i="7" a="1"/>
  <c r="D53" i="7" a="1"/>
  <c r="D5" i="7" a="1"/>
  <c r="D18" i="7" a="1"/>
  <c r="D39" i="7" a="1"/>
  <c r="D52" i="7" a="1"/>
  <c r="D49" i="7" a="1"/>
  <c r="D36" i="7" a="1"/>
  <c r="D14" i="7" a="1"/>
  <c r="D35" i="7" a="1"/>
  <c r="D45" i="7" a="1"/>
  <c r="D41" i="7" a="1"/>
  <c r="D54" i="7" a="1"/>
  <c r="D6" i="7" a="1"/>
  <c r="D27" i="7" a="1"/>
  <c r="E13" i="4" l="1"/>
  <c r="D27" i="7"/>
  <c r="D6" i="7"/>
  <c r="D54" i="7"/>
  <c r="D41" i="7"/>
  <c r="D45" i="7"/>
  <c r="D35" i="7"/>
  <c r="D14" i="7"/>
  <c r="D36" i="7"/>
  <c r="D49" i="7"/>
  <c r="D52" i="7"/>
  <c r="D39" i="7"/>
  <c r="D18" i="7"/>
  <c r="D5" i="7"/>
  <c r="D53" i="7"/>
  <c r="D10" i="7"/>
  <c r="D43" i="7"/>
  <c r="D22" i="7"/>
  <c r="D9" i="7"/>
  <c r="D56" i="7"/>
  <c r="D47" i="7"/>
  <c r="D26" i="7"/>
  <c r="D13" i="7"/>
  <c r="D4" i="7"/>
  <c r="D3" i="7"/>
  <c r="D51" i="7"/>
  <c r="D30" i="7"/>
  <c r="D17" i="7"/>
  <c r="D32" i="7"/>
  <c r="D7" i="7"/>
  <c r="D55" i="7"/>
  <c r="D34" i="7"/>
  <c r="D21" i="7"/>
  <c r="D16" i="7"/>
  <c r="D11" i="7"/>
  <c r="D28" i="7"/>
  <c r="D38" i="7"/>
  <c r="D25" i="7"/>
  <c r="D24" i="7"/>
  <c r="D31" i="7"/>
  <c r="D15" i="7"/>
  <c r="D48" i="7"/>
  <c r="D42" i="7"/>
  <c r="D29" i="7"/>
  <c r="D44" i="7"/>
  <c r="D19" i="7"/>
  <c r="D12" i="7"/>
  <c r="D46" i="7"/>
  <c r="D33" i="7"/>
  <c r="D8" i="7"/>
  <c r="D23" i="7"/>
  <c r="D20" i="7"/>
  <c r="D50" i="7"/>
  <c r="D37" i="7"/>
  <c r="D40" i="7"/>
  <c r="D22" i="4"/>
  <c r="D23" i="4"/>
  <c r="E27" i="7" a="1"/>
  <c r="E5" i="7" a="1"/>
  <c r="E51" i="7" a="1"/>
  <c r="E25" i="7" a="1"/>
  <c r="E8" i="7" a="1"/>
  <c r="E16" i="7" a="1"/>
  <c r="E33" i="7" a="1"/>
  <c r="E6" i="7" a="1"/>
  <c r="E53" i="7" a="1"/>
  <c r="E30" i="7" a="1"/>
  <c r="E24" i="7" a="1"/>
  <c r="E23" i="7" a="1"/>
  <c r="E36" i="7" a="1"/>
  <c r="E11" i="7" a="1"/>
  <c r="E54" i="7" a="1"/>
  <c r="E10" i="7" a="1"/>
  <c r="E17" i="7" a="1"/>
  <c r="E31" i="7" a="1"/>
  <c r="E20" i="7" a="1"/>
  <c r="E21" i="7" a="1"/>
  <c r="E28" i="7" a="1"/>
  <c r="E41" i="7" a="1"/>
  <c r="E43" i="7" a="1"/>
  <c r="E32" i="7" a="1"/>
  <c r="E15" i="7" a="1"/>
  <c r="E50" i="7" a="1"/>
  <c r="E44" i="7" a="1"/>
  <c r="E46" i="7" a="1"/>
  <c r="E3" i="7" a="1"/>
  <c r="E45" i="7" a="1"/>
  <c r="E22" i="7" a="1"/>
  <c r="E7" i="7" a="1"/>
  <c r="E48" i="7" a="1"/>
  <c r="E37" i="7" a="1"/>
  <c r="E47" i="7" a="1"/>
  <c r="E19" i="7" a="1"/>
  <c r="E52" i="7" a="1"/>
  <c r="E38" i="7" a="1"/>
  <c r="E35" i="7" a="1"/>
  <c r="E9" i="7" a="1"/>
  <c r="E55" i="7" a="1"/>
  <c r="E42" i="7" a="1"/>
  <c r="E40" i="7" a="1"/>
  <c r="E26" i="7" a="1"/>
  <c r="E39" i="7" a="1"/>
  <c r="E14" i="7" a="1"/>
  <c r="E56" i="7" a="1"/>
  <c r="E34" i="7" a="1"/>
  <c r="E29" i="7" a="1"/>
  <c r="E49" i="7" a="1"/>
  <c r="E12" i="7" a="1"/>
  <c r="E4" i="7" a="1"/>
  <c r="E13" i="7" a="1"/>
  <c r="E18" i="7" a="1"/>
  <c r="E18" i="7" l="1"/>
  <c r="E13" i="7"/>
  <c r="E4" i="7"/>
  <c r="E12" i="7"/>
  <c r="E49" i="7"/>
  <c r="E29" i="7"/>
  <c r="E34" i="7"/>
  <c r="E56" i="7"/>
  <c r="E14" i="7"/>
  <c r="E39" i="7"/>
  <c r="E26" i="7"/>
  <c r="E40" i="7"/>
  <c r="E42" i="7"/>
  <c r="E55" i="7"/>
  <c r="E9" i="7"/>
  <c r="E35" i="7"/>
  <c r="E38" i="7"/>
  <c r="E52" i="7"/>
  <c r="E19" i="7"/>
  <c r="E47" i="7"/>
  <c r="E37" i="7"/>
  <c r="E48" i="7"/>
  <c r="E7" i="7"/>
  <c r="E22" i="7"/>
  <c r="E45" i="7"/>
  <c r="E3" i="7"/>
  <c r="E46" i="7"/>
  <c r="E44" i="7"/>
  <c r="E50" i="7"/>
  <c r="E15" i="7"/>
  <c r="E32" i="7"/>
  <c r="E43" i="7"/>
  <c r="E41" i="7"/>
  <c r="E28" i="7"/>
  <c r="E21" i="7"/>
  <c r="E20" i="7"/>
  <c r="E31" i="7"/>
  <c r="E17" i="7"/>
  <c r="E10" i="7"/>
  <c r="E54" i="7"/>
  <c r="E11" i="7"/>
  <c r="E36" i="7"/>
  <c r="E23" i="7"/>
  <c r="E24" i="7"/>
  <c r="E30" i="7"/>
  <c r="E53" i="7"/>
  <c r="E6" i="7"/>
  <c r="E33" i="7"/>
  <c r="E16" i="7"/>
  <c r="E8" i="7"/>
  <c r="E25" i="7"/>
  <c r="E51" i="7"/>
  <c r="E5" i="7"/>
  <c r="E27" i="7"/>
  <c r="E16" i="4" l="1"/>
  <c r="D16" i="4"/>
  <c r="E17" i="4" a="1"/>
  <c r="E14" i="4" a="1"/>
  <c r="D17" i="4" a="1"/>
  <c r="D14" i="4" a="1"/>
  <c r="E9" i="4" a="1"/>
  <c r="H5" i="4" a="1"/>
  <c r="D9" i="4" a="1"/>
  <c r="G5" i="4" a="1"/>
  <c r="E17" i="4" l="1"/>
  <c r="E14" i="4"/>
  <c r="D17" i="4"/>
  <c r="D14" i="4"/>
  <c r="E9" i="4"/>
  <c r="H5" i="4"/>
  <c r="D9" i="4"/>
  <c r="G5" i="4"/>
  <c r="D18" i="4" a="1"/>
  <c r="D15" i="4" a="1"/>
  <c r="E18" i="4" a="1"/>
  <c r="E15" i="4" a="1"/>
  <c r="E10" i="4" a="1"/>
  <c r="E7" i="4" a="1"/>
  <c r="D7" i="4" a="1"/>
  <c r="D10" i="4" a="1"/>
  <c r="E15" i="4" l="1"/>
  <c r="E18" i="4"/>
  <c r="D15" i="4"/>
  <c r="D18" i="4"/>
  <c r="D10" i="4"/>
  <c r="D7" i="4"/>
  <c r="E7" i="4"/>
  <c r="E10" i="4"/>
  <c r="D11" i="4" a="1"/>
  <c r="D8" i="4" a="1"/>
  <c r="E8" i="4" a="1"/>
  <c r="E11" i="4" a="1"/>
  <c r="E11" i="4" l="1"/>
  <c r="E8" i="4"/>
  <c r="D8" i="4"/>
  <c r="D1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79FD591-D47C-4799-A118-9B756444BDC9}" keepAlive="1" name="Query - Question 1" description="Connection to the 'Question 1' query in the workbook." type="5" refreshedVersion="8" background="1" saveData="1">
    <dbPr connection="Provider=Microsoft.Mashup.OleDb.1;Data Source=$Workbook$;Location=&quot;Question 1&quot;;Extended Properties=&quot;&quot;" command="SELECT * FROM [Question 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<sst xmlns="http://schemas.openxmlformats.org/spreadsheetml/2006/main" count="120" uniqueCount="76">
  <si>
    <t>Altitude (ft)</t>
  </si>
  <si>
    <t>Temperature (R)</t>
  </si>
  <si>
    <t>Temperature (°F)</t>
  </si>
  <si>
    <t>Temperature (°C)</t>
  </si>
  <si>
    <t>Temperature Ratio</t>
  </si>
  <si>
    <t>Pressure Ratio</t>
  </si>
  <si>
    <t>Pressure (lb/ft^2)</t>
  </si>
  <si>
    <t>Density (slug/ft^3)</t>
  </si>
  <si>
    <t>Density Ratio</t>
  </si>
  <si>
    <t>SQRTDR</t>
  </si>
  <si>
    <t>QMS (lb/ft^2)</t>
  </si>
  <si>
    <t>Specific Weight (lb/ft^3)</t>
  </si>
  <si>
    <t>Speed of Sound (ft/s)</t>
  </si>
  <si>
    <t>Speed of Sound (knots)</t>
  </si>
  <si>
    <t>Kinematic Viscosity (ft^2/s)</t>
  </si>
  <si>
    <t>Wing Span</t>
  </si>
  <si>
    <t>ft</t>
  </si>
  <si>
    <t>Wing Planform Area</t>
  </si>
  <si>
    <t>ft^2</t>
  </si>
  <si>
    <t>Maximum Load Factor</t>
  </si>
  <si>
    <t>g</t>
  </si>
  <si>
    <t>Minimum Load Factor</t>
  </si>
  <si>
    <t>Maximum Speed</t>
  </si>
  <si>
    <t>mph</t>
  </si>
  <si>
    <t>KEAS</t>
  </si>
  <si>
    <t>Maximum Altitude</t>
  </si>
  <si>
    <t>Maximum Mach</t>
  </si>
  <si>
    <t>Fuel Capacity</t>
  </si>
  <si>
    <t>gal</t>
  </si>
  <si>
    <t>lb</t>
  </si>
  <si>
    <t>Gross Takeoff Weight</t>
  </si>
  <si>
    <t>Performance Weight</t>
  </si>
  <si>
    <t>CL Max (No Flaps)</t>
  </si>
  <si>
    <t>CL Max (Takeoff Flaps)</t>
  </si>
  <si>
    <t>CL Max (Landing Flaps)</t>
  </si>
  <si>
    <t>ft/s^2</t>
  </si>
  <si>
    <t>T_SL</t>
  </si>
  <si>
    <t>SFC_SL</t>
  </si>
  <si>
    <t>lb/(lb-hr)</t>
  </si>
  <si>
    <t>X</t>
  </si>
  <si>
    <t>Cruise Ceiling</t>
  </si>
  <si>
    <t>Service Ceiling</t>
  </si>
  <si>
    <t>Absolute Ceiling</t>
  </si>
  <si>
    <t>Altitude</t>
  </si>
  <si>
    <t>Format</t>
  </si>
  <si>
    <t>Units</t>
  </si>
  <si>
    <t>Part e</t>
  </si>
  <si>
    <t>X.YYYY</t>
  </si>
  <si>
    <t>---</t>
  </si>
  <si>
    <t xml:space="preserve">     Mach Number</t>
  </si>
  <si>
    <t>X.Y</t>
  </si>
  <si>
    <t xml:space="preserve"> ft/sec</t>
  </si>
  <si>
    <t>Velocity for Minimum Glide Angle</t>
  </si>
  <si>
    <t>X.YY</t>
  </si>
  <si>
    <t>degrees</t>
  </si>
  <si>
    <t>Minimum Glide Angle</t>
  </si>
  <si>
    <t>Velocity for Minimum Rate of Descent</t>
  </si>
  <si>
    <t xml:space="preserve"> ft/min</t>
  </si>
  <si>
    <t>Minimum Rate of Descent</t>
  </si>
  <si>
    <t>20,000 ft</t>
  </si>
  <si>
    <t>Sea Level</t>
  </si>
  <si>
    <t>Part b</t>
  </si>
  <si>
    <t>Velocity for Maximum Climb Angle</t>
  </si>
  <si>
    <t>Maximum Climb Angle</t>
  </si>
  <si>
    <t>Velocity for Maximum Rate of Climb</t>
  </si>
  <si>
    <t>Maximum Rate of Climb</t>
  </si>
  <si>
    <t>Part a</t>
  </si>
  <si>
    <t>Rate of Climb, Rate of Descent, &amp; Ceilings</t>
  </si>
  <si>
    <t>Homework # 11</t>
  </si>
  <si>
    <t>Z</t>
  </si>
  <si>
    <t>Mach Number</t>
  </si>
  <si>
    <t>Rate of Climb</t>
  </si>
  <si>
    <t>Rate of Descent</t>
  </si>
  <si>
    <t>Cl</t>
  </si>
  <si>
    <t>Cd</t>
  </si>
  <si>
    <t>Drag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</si>
</sst>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0.0000"/>
    <numFmt numFmtId="168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vertical="center"/>
    </xf>
    <xf numFmtId="0" fontId="3" fillId="0" borderId="1" xfId="0" quotePrefix="1" applyFont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166" fontId="2" fillId="2" borderId="1" xfId="0" applyNumberFormat="1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168" fontId="2" fillId="2" borderId="1" xfId="0" applyNumberFormat="1" applyFont="1" applyFill="1" applyBorder="1" applyAlignment="1">
      <alignment horizontal="center" vertical="center"/>
    </xf>
    <xf numFmtId="1" fontId="2" fillId="2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Mach</a:t>
            </a:r>
            <a:r>
              <a:rPr lang="en-US" baseline="0"/>
              <a:t> Number vs. Climb Rate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Sea Level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'Numbers (SL)'!$A$2:$A$56</c:f>
              <c:numCache>
                <c:formatCode>General</c:formatCode>
                <c:ptCount val="5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</c:numCache>
            </c:numRef>
          </c:xVal>
          <c:yVal>
            <c:numRef>
              <c:f>'Numbers (SL)'!$E$2:$E$56</c:f>
              <c:numCache>
                <c:formatCode>General</c:formatCode>
                <c:ptCount val="55"/>
                <c:pt idx="0">
                  <c:v>-6525.42987974487</c:v>
                </c:pt>
                <c:pt idx="1">
                  <c:v>-3037.8152030854671</c:v>
                </c:pt>
                <c:pt idx="2">
                  <c:v>-1776.4329757835142</c:v>
                </c:pt>
                <c:pt idx="3">
                  <c:v>-1072.8592272469896</c:v>
                </c:pt>
                <c:pt idx="4">
                  <c:v>-593.80928061382622</c:v>
                </c:pt>
                <c:pt idx="5">
                  <c:v>-228.52167464362114</c:v>
                </c:pt>
                <c:pt idx="6">
                  <c:v>70.186990297841646</c:v>
                </c:pt>
                <c:pt idx="7">
                  <c:v>325.65834074245748</c:v>
                </c:pt>
                <c:pt idx="8">
                  <c:v>550.63765962108971</c:v>
                </c:pt>
                <c:pt idx="9">
                  <c:v>752.57205806408729</c:v>
                </c:pt>
                <c:pt idx="10">
                  <c:v>936.0187353106063</c:v>
                </c:pt>
                <c:pt idx="11">
                  <c:v>1103.8491086632775</c:v>
                </c:pt>
                <c:pt idx="12">
                  <c:v>1257.8971911560982</c:v>
                </c:pt>
                <c:pt idx="13">
                  <c:v>1399.3300930789449</c:v>
                </c:pt>
                <c:pt idx="14">
                  <c:v>1528.8703228922798</c:v>
                </c:pt>
                <c:pt idx="15">
                  <c:v>1646.9347252988448</c:v>
                </c:pt>
                <c:pt idx="16">
                  <c:v>1753.7243823488689</c:v>
                </c:pt>
                <c:pt idx="17">
                  <c:v>1849.2845475102172</c:v>
                </c:pt>
                <c:pt idx="18">
                  <c:v>1933.5456531900581</c:v>
                </c:pt>
                <c:pt idx="19">
                  <c:v>2006.3520160000435</c:v>
                </c:pt>
                <c:pt idx="20">
                  <c:v>2067.4823405171442</c:v>
                </c:pt>
                <c:pt idx="21">
                  <c:v>2116.6646311097111</c:v>
                </c:pt>
                <c:pt idx="22">
                  <c:v>2153.5872137219626</c:v>
                </c:pt>
                <c:pt idx="23">
                  <c:v>2177.9070022123424</c:v>
                </c:pt>
                <c:pt idx="24">
                  <c:v>2189.2557807706748</c:v>
                </c:pt>
                <c:pt idx="25">
                  <c:v>2187.2450365467448</c:v>
                </c:pt>
                <c:pt idx="26">
                  <c:v>2171.4697183614194</c:v>
                </c:pt>
                <c:pt idx="27">
                  <c:v>2141.5111899796643</c:v>
                </c:pt>
                <c:pt idx="28">
                  <c:v>2096.9395723615658</c:v>
                </c:pt>
                <c:pt idx="29">
                  <c:v>2037.3156174631401</c:v>
                </c:pt>
                <c:pt idx="30">
                  <c:v>1962.1922193660248</c:v>
                </c:pt>
                <c:pt idx="31">
                  <c:v>1871.1156420703501</c:v>
                </c:pt>
                <c:pt idx="32">
                  <c:v>1763.6265240525411</c:v>
                </c:pt>
                <c:pt idx="33">
                  <c:v>1639.2607055482181</c:v>
                </c:pt>
                <c:pt idx="34">
                  <c:v>1497.5499140151678</c:v>
                </c:pt>
                <c:pt idx="35">
                  <c:v>1338.0223353524839</c:v>
                </c:pt>
                <c:pt idx="36">
                  <c:v>1160.2030924895867</c:v>
                </c:pt>
                <c:pt idx="37">
                  <c:v>963.6146484085408</c:v>
                </c:pt>
                <c:pt idx="38">
                  <c:v>747.77714716295225</c:v>
                </c:pt>
                <c:pt idx="39">
                  <c:v>512.20870374402091</c:v>
                </c:pt>
                <c:pt idx="40">
                  <c:v>256.42565152718481</c:v>
                </c:pt>
                <c:pt idx="41">
                  <c:v>-20.057245630779178</c:v>
                </c:pt>
                <c:pt idx="42">
                  <c:v>-317.72661088957477</c:v>
                </c:pt>
                <c:pt idx="43">
                  <c:v>-637.07029680988001</c:v>
                </c:pt>
                <c:pt idx="44">
                  <c:v>-978.57724875324061</c:v>
                </c:pt>
                <c:pt idx="45">
                  <c:v>-1342.7373860993634</c:v>
                </c:pt>
                <c:pt idx="46">
                  <c:v>-1730.041498627166</c:v>
                </c:pt>
                <c:pt idx="47">
                  <c:v>-2140.9811558481961</c:v>
                </c:pt>
                <c:pt idx="48">
                  <c:v>-2576.0486274420678</c:v>
                </c:pt>
                <c:pt idx="49">
                  <c:v>-3035.7368132396623</c:v>
                </c:pt>
                <c:pt idx="50">
                  <c:v>-3520.5391814435907</c:v>
                </c:pt>
                <c:pt idx="51">
                  <c:v>-4030.9497139770624</c:v>
                </c:pt>
                <c:pt idx="52">
                  <c:v>-4567.4628580196813</c:v>
                </c:pt>
                <c:pt idx="53">
                  <c:v>-5130.5734829281446</c:v>
                </c:pt>
                <c:pt idx="54">
                  <c:v>-5720.7768418565329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38-49E7-A9A0-C8B634720829}"/>
            </c:ext>
          </c:extLst>
        </c:ser>
        <c:ser>
          <c:idx val="1"/>
          <c:order val="1"/>
          <c:tx>
            <c:v>20000 Feet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'Numbers (20 K)'!$A$2:$A$56</c:f>
              <c:numCache>
                <c:formatCode>General</c:formatCode>
                <c:ptCount val="5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</c:numCache>
            </c:numRef>
          </c:xVal>
          <c:yVal>
            <c:numRef>
              <c:f>'Numbers (20 K)'!$E$2:$E$56</c:f>
              <c:numCache>
                <c:formatCode>General</c:formatCode>
                <c:ptCount val="55"/>
                <c:pt idx="0">
                  <c:v>-14444.007104166203</c:v>
                </c:pt>
                <c:pt idx="1">
                  <c:v>-7102.1086347110049</c:v>
                </c:pt>
                <c:pt idx="2">
                  <c:v>-4602.0332927199497</c:v>
                </c:pt>
                <c:pt idx="3">
                  <c:v>-3312.9883575867348</c:v>
                </c:pt>
                <c:pt idx="4">
                  <c:v>-2508.9991651874834</c:v>
                </c:pt>
                <c:pt idx="5">
                  <c:v>-1948.2273941453834</c:v>
                </c:pt>
                <c:pt idx="6">
                  <c:v>-1527.1593924399258</c:v>
                </c:pt>
                <c:pt idx="7">
                  <c:v>-1194.153259059223</c:v>
                </c:pt>
                <c:pt idx="8">
                  <c:v>-920.62120455076706</c:v>
                </c:pt>
                <c:pt idx="9">
                  <c:v>-689.50249524174114</c:v>
                </c:pt>
                <c:pt idx="10">
                  <c:v>-490.02388243007402</c:v>
                </c:pt>
                <c:pt idx="11">
                  <c:v>-315.07981697995558</c:v>
                </c:pt>
                <c:pt idx="12">
                  <c:v>-159.82179564251101</c:v>
                </c:pt>
                <c:pt idx="13">
                  <c:v>-20.85227323903456</c:v>
                </c:pt>
                <c:pt idx="14">
                  <c:v>104.258990029061</c:v>
                </c:pt>
                <c:pt idx="15">
                  <c:v>217.27721151154049</c:v>
                </c:pt>
                <c:pt idx="16">
                  <c:v>319.49818094722622</c:v>
                </c:pt>
                <c:pt idx="17">
                  <c:v>411.87865702260058</c:v>
                </c:pt>
                <c:pt idx="18">
                  <c:v>495.12558606978382</c:v>
                </c:pt>
                <c:pt idx="19">
                  <c:v>569.75855515512967</c:v>
                </c:pt>
                <c:pt idx="20">
                  <c:v>636.15440142821296</c:v>
                </c:pt>
                <c:pt idx="21">
                  <c:v>694.57965528473915</c:v>
                </c:pt>
                <c:pt idx="22">
                  <c:v>745.21452009564155</c:v>
                </c:pt>
                <c:pt idx="23">
                  <c:v>788.17085700391044</c:v>
                </c:pt>
                <c:pt idx="24">
                  <c:v>823.50585337018379</c:v>
                </c:pt>
                <c:pt idx="25">
                  <c:v>851.23253696165659</c:v>
                </c:pt>
                <c:pt idx="26">
                  <c:v>871.32795365457616</c:v>
                </c:pt>
                <c:pt idx="27">
                  <c:v>883.73959277190704</c:v>
                </c:pt>
                <c:pt idx="28">
                  <c:v>888.39048304079256</c:v>
                </c:pt>
                <c:pt idx="29">
                  <c:v>885.18326935853088</c:v>
                </c:pt>
                <c:pt idx="30">
                  <c:v>874.00350050705958</c:v>
                </c:pt>
                <c:pt idx="31">
                  <c:v>854.72230042098647</c:v>
                </c:pt>
                <c:pt idx="32">
                  <c:v>827.1985537705126</c:v>
                </c:pt>
                <c:pt idx="33">
                  <c:v>791.280705853261</c:v>
                </c:pt>
                <c:pt idx="34">
                  <c:v>746.8082539332172</c:v>
                </c:pt>
                <c:pt idx="35">
                  <c:v>693.61299002317298</c:v>
                </c:pt>
                <c:pt idx="36">
                  <c:v>631.52004213489386</c:v>
                </c:pt>
                <c:pt idx="37">
                  <c:v>560.34875112135671</c:v>
                </c:pt>
                <c:pt idx="38">
                  <c:v>479.91341262018437</c:v>
                </c:pt>
                <c:pt idx="39">
                  <c:v>390.02390770556508</c:v>
                </c:pt>
                <c:pt idx="40">
                  <c:v>290.48624124964766</c:v>
                </c:pt>
                <c:pt idx="41">
                  <c:v>181.1030033751635</c:v>
                </c:pt>
                <c:pt idx="42">
                  <c:v>61.673766519313148</c:v>
                </c:pt>
                <c:pt idx="43">
                  <c:v>-68.004571647421358</c:v>
                </c:pt>
                <c:pt idx="44">
                  <c:v>-208.13749102497903</c:v>
                </c:pt>
                <c:pt idx="45">
                  <c:v>-358.93259065214704</c:v>
                </c:pt>
                <c:pt idx="46">
                  <c:v>-520.59936326626018</c:v>
                </c:pt>
                <c:pt idx="47">
                  <c:v>-693.3489980429398</c:v>
                </c:pt>
                <c:pt idx="48">
                  <c:v>-877.39420749013664</c:v>
                </c:pt>
                <c:pt idx="49">
                  <c:v>-1072.9490751149081</c:v>
                </c:pt>
                <c:pt idx="50">
                  <c:v>-1280.228921011731</c:v>
                </c:pt>
                <c:pt idx="51">
                  <c:v>-1499.4501829598764</c:v>
                </c:pt>
                <c:pt idx="52">
                  <c:v>-1730.8303109814356</c:v>
                </c:pt>
                <c:pt idx="53">
                  <c:v>-1974.5876736151422</c:v>
                </c:pt>
                <c:pt idx="54">
                  <c:v>-2230.941474414863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38-49E7-A9A0-C8B634720829}"/>
            </c:ext>
          </c:extLst>
        </c:ser>
        <c:ser>
          <c:idx val="2"/>
          <c:order val="2"/>
          <c:tx>
            <c:v>Max Climb Sea Level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'HW11 - Climb Descent Ceiling'!$D$8</c:f>
              <c:numCache>
                <c:formatCode>0.0000</c:formatCode>
                <c:ptCount val="1"/>
                <c:pt idx="0">
                  <c:v>0.21956373880885371</c:v>
                </c:pt>
              </c:numCache>
            </c:numRef>
          </c:xVal>
          <c:yVal>
            <c:numRef>
              <c:f>'HW11 - Climb Descent Ceiling'!$D$6</c:f>
              <c:numCache>
                <c:formatCode>0.0</c:formatCode>
                <c:ptCount val="1"/>
                <c:pt idx="0">
                  <c:v>2190.1520695105819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A38-49E7-A9A0-C8B634720829}"/>
            </c:ext>
          </c:extLst>
        </c:ser>
        <c:ser>
          <c:idx val="3"/>
          <c:order val="3"/>
          <c:tx>
            <c:v>Max Climb 20000 Feet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'HW11 - Climb Descent Ceiling'!$E$8</c:f>
              <c:numCache>
                <c:formatCode>0.0000</c:formatCode>
                <c:ptCount val="1"/>
                <c:pt idx="0">
                  <c:v>0.25195919825600893</c:v>
                </c:pt>
              </c:numCache>
            </c:numRef>
          </c:xVal>
          <c:yVal>
            <c:numRef>
              <c:f>'HW11 - Climb Descent Ceiling'!$E$6</c:f>
              <c:numCache>
                <c:formatCode>0.0</c:formatCode>
                <c:ptCount val="1"/>
                <c:pt idx="0">
                  <c:v>825.06359105509421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A38-49E7-A9A0-C8B634720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2794527"/>
        <c:axId val="890339903"/>
      </c:scatterChart>
      <c:valAx>
        <c:axId val="1902794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</a:t>
                </a:r>
                <a:r>
                  <a:rPr lang="en-US" baseline="0"/>
                  <a:t> Number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339903"/>
        <c:crosses val="autoZero"/>
        <c:crossBetween val="midCat"/>
      </c:valAx>
      <c:valAx>
        <c:axId val="89033990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Climb</a:t>
                </a:r>
                <a:r>
                  <a:rPr lang="en-US" baseline="0"/>
                  <a:t> Rate (ft/min)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2794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Mach</a:t>
            </a:r>
            <a:r>
              <a:rPr lang="en-US" baseline="0"/>
              <a:t> Number vs. Descent Rate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Sea Level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'Numbers (SL)'!$A$2:$A$56</c:f>
              <c:numCache>
                <c:formatCode>General</c:formatCode>
                <c:ptCount val="5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</c:numCache>
            </c:numRef>
          </c:xVal>
          <c:yVal>
            <c:numRef>
              <c:f>'Numbers (SL)'!$F$2:$F$56</c:f>
              <c:numCache>
                <c:formatCode>General</c:formatCode>
                <c:ptCount val="55"/>
                <c:pt idx="0">
                  <c:v>6675.7798264115354</c:v>
                </c:pt>
                <c:pt idx="1">
                  <c:v>3338.5150964188006</c:v>
                </c:pt>
                <c:pt idx="2">
                  <c:v>2227.4828157835141</c:v>
                </c:pt>
                <c:pt idx="3">
                  <c:v>1674.2590139136562</c:v>
                </c:pt>
                <c:pt idx="4">
                  <c:v>1345.5590139471594</c:v>
                </c:pt>
                <c:pt idx="5">
                  <c:v>1130.6213546436213</c:v>
                </c:pt>
                <c:pt idx="6">
                  <c:v>982.26263636882516</c:v>
                </c:pt>
                <c:pt idx="7">
                  <c:v>877.1412325908758</c:v>
                </c:pt>
                <c:pt idx="8">
                  <c:v>802.51186037891023</c:v>
                </c:pt>
                <c:pt idx="9">
                  <c:v>750.9274086025797</c:v>
                </c:pt>
                <c:pt idx="10">
                  <c:v>717.83067802272706</c:v>
                </c:pt>
                <c:pt idx="11">
                  <c:v>700.35025133672264</c:v>
                </c:pt>
                <c:pt idx="12">
                  <c:v>696.65211551056848</c:v>
                </c:pt>
                <c:pt idx="13">
                  <c:v>705.56916025438863</c:v>
                </c:pt>
                <c:pt idx="14">
                  <c:v>726.3788771077202</c:v>
                </c:pt>
                <c:pt idx="15">
                  <c:v>758.664421367822</c:v>
                </c:pt>
                <c:pt idx="16">
                  <c:v>802.22471098446431</c:v>
                </c:pt>
                <c:pt idx="17">
                  <c:v>857.01449248978304</c:v>
                </c:pt>
                <c:pt idx="18">
                  <c:v>923.10333347660867</c:v>
                </c:pt>
                <c:pt idx="19">
                  <c:v>1000.64691733329</c:v>
                </c:pt>
                <c:pt idx="20">
                  <c:v>1089.8665394828563</c:v>
                </c:pt>
                <c:pt idx="21">
                  <c:v>1191.0341955569552</c:v>
                </c:pt>
                <c:pt idx="22">
                  <c:v>1304.4615596113706</c:v>
                </c:pt>
                <c:pt idx="23">
                  <c:v>1430.4917177876571</c:v>
                </c:pt>
                <c:pt idx="24">
                  <c:v>1569.4928858959918</c:v>
                </c:pt>
                <c:pt idx="25">
                  <c:v>1721.8535767865887</c:v>
                </c:pt>
                <c:pt idx="26">
                  <c:v>1887.9788416385809</c:v>
                </c:pt>
                <c:pt idx="27">
                  <c:v>2068.2873166870027</c:v>
                </c:pt>
                <c:pt idx="28">
                  <c:v>2263.208880971767</c:v>
                </c:pt>
                <c:pt idx="29">
                  <c:v>2473.1827825368596</c:v>
                </c:pt>
                <c:pt idx="30">
                  <c:v>2698.6561273006419</c:v>
                </c:pt>
                <c:pt idx="31">
                  <c:v>2940.0826512629828</c:v>
                </c:pt>
                <c:pt idx="32">
                  <c:v>3197.9217159474588</c:v>
                </c:pt>
                <c:pt idx="33">
                  <c:v>3472.6374811184487</c:v>
                </c:pt>
                <c:pt idx="34">
                  <c:v>3764.6982193181648</c:v>
                </c:pt>
                <c:pt idx="35">
                  <c:v>4074.5757446475154</c:v>
                </c:pt>
                <c:pt idx="36">
                  <c:v>4402.7449341770798</c:v>
                </c:pt>
                <c:pt idx="37">
                  <c:v>4749.6833249247929</c:v>
                </c:pt>
                <c:pt idx="38">
                  <c:v>5115.8707728370482</c:v>
                </c:pt>
                <c:pt idx="39">
                  <c:v>5501.789162922646</c:v>
                </c:pt>
                <c:pt idx="40">
                  <c:v>5907.9221618061492</c:v>
                </c:pt>
                <c:pt idx="41">
                  <c:v>6334.7550056307791</c:v>
                </c:pt>
                <c:pt idx="42">
                  <c:v>6782.7743175562409</c:v>
                </c:pt>
                <c:pt idx="43">
                  <c:v>7252.4679501432138</c:v>
                </c:pt>
                <c:pt idx="44">
                  <c:v>7744.324848753241</c:v>
                </c:pt>
                <c:pt idx="45">
                  <c:v>8258.8349327660308</c:v>
                </c:pt>
                <c:pt idx="46">
                  <c:v>8796.4889919604993</c:v>
                </c:pt>
                <c:pt idx="47">
                  <c:v>9357.7785958481945</c:v>
                </c:pt>
                <c:pt idx="48">
                  <c:v>9943.1960141087347</c:v>
                </c:pt>
                <c:pt idx="49">
                  <c:v>10553.234146572995</c:v>
                </c:pt>
                <c:pt idx="50">
                  <c:v>11188.386461443593</c:v>
                </c:pt>
                <c:pt idx="51">
                  <c:v>11849.14694064373</c:v>
                </c:pt>
                <c:pt idx="52">
                  <c:v>12536.010031353017</c:v>
                </c:pt>
                <c:pt idx="53">
                  <c:v>13249.470602928146</c:v>
                </c:pt>
                <c:pt idx="54">
                  <c:v>13990.023908523202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66-47BA-99A4-612C35BD205C}"/>
            </c:ext>
          </c:extLst>
        </c:ser>
        <c:ser>
          <c:idx val="1"/>
          <c:order val="1"/>
          <c:tx>
            <c:v>20000 Feet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'Numbers (20 K)'!$A$2:$A$56</c:f>
              <c:numCache>
                <c:formatCode>General</c:formatCode>
                <c:ptCount val="5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</c:numCache>
            </c:numRef>
          </c:xVal>
          <c:yVal>
            <c:numRef>
              <c:f>'Numbers (20 K)'!$F$2:$F$56</c:f>
              <c:numCache>
                <c:formatCode>General</c:formatCode>
                <c:ptCount val="55"/>
                <c:pt idx="0">
                  <c:v>13488.995301629659</c:v>
                </c:pt>
                <c:pt idx="1">
                  <c:v>6744.7644865759657</c:v>
                </c:pt>
                <c:pt idx="2">
                  <c:v>4497.2805165828158</c:v>
                </c:pt>
                <c:pt idx="3">
                  <c:v>3374.5169293770705</c:v>
                </c:pt>
                <c:pt idx="4">
                  <c:v>2702.2392073912351</c:v>
                </c:pt>
                <c:pt idx="5">
                  <c:v>2255.8448238420801</c:v>
                </c:pt>
                <c:pt idx="6">
                  <c:v>1939.197535027597</c:v>
                </c:pt>
                <c:pt idx="7">
                  <c:v>1704.3359534012395</c:v>
                </c:pt>
                <c:pt idx="8">
                  <c:v>1524.7097385966613</c:v>
                </c:pt>
                <c:pt idx="9">
                  <c:v>1384.4740738376172</c:v>
                </c:pt>
                <c:pt idx="10">
                  <c:v>1273.6235188515577</c:v>
                </c:pt>
                <c:pt idx="11">
                  <c:v>1185.558936326416</c:v>
                </c:pt>
                <c:pt idx="12">
                  <c:v>1115.7773753873505</c:v>
                </c:pt>
                <c:pt idx="13">
                  <c:v>1061.1234335834463</c:v>
                </c:pt>
                <c:pt idx="14">
                  <c:v>1019.340074079745</c:v>
                </c:pt>
                <c:pt idx="15">
                  <c:v>988.78788640225173</c:v>
                </c:pt>
                <c:pt idx="16">
                  <c:v>968.26343162589205</c:v>
                </c:pt>
                <c:pt idx="17">
                  <c:v>956.87813916647463</c:v>
                </c:pt>
                <c:pt idx="18">
                  <c:v>953.97544669098943</c:v>
                </c:pt>
                <c:pt idx="19">
                  <c:v>959.07279805480857</c:v>
                </c:pt>
                <c:pt idx="20">
                  <c:v>971.8202132568365</c:v>
                </c:pt>
                <c:pt idx="21">
                  <c:v>991.97015749779496</c:v>
                </c:pt>
                <c:pt idx="22">
                  <c:v>1019.3552704841779</c:v>
                </c:pt>
                <c:pt idx="23">
                  <c:v>1053.8716634062159</c:v>
                </c:pt>
                <c:pt idx="24">
                  <c:v>1095.4662246411267</c:v>
                </c:pt>
                <c:pt idx="25">
                  <c:v>1144.1268549094673</c:v>
                </c:pt>
                <c:pt idx="26">
                  <c:v>1199.8748723967328</c:v>
                </c:pt>
                <c:pt idx="27">
                  <c:v>1262.7590453489072</c:v>
                </c:pt>
                <c:pt idx="28">
                  <c:v>1332.8508593034137</c:v>
                </c:pt>
                <c:pt idx="29">
                  <c:v>1410.2407308738725</c:v>
                </c:pt>
                <c:pt idx="30">
                  <c:v>1495.0349543507148</c:v>
                </c:pt>
                <c:pt idx="31">
                  <c:v>1587.3532208141819</c:v>
                </c:pt>
                <c:pt idx="32">
                  <c:v>1687.3265883176875</c:v>
                </c:pt>
                <c:pt idx="33">
                  <c:v>1795.0958102741145</c:v>
                </c:pt>
                <c:pt idx="34">
                  <c:v>1910.8099504044617</c:v>
                </c:pt>
                <c:pt idx="35">
                  <c:v>2034.625228528389</c:v>
                </c:pt>
                <c:pt idx="36">
                  <c:v>2166.7040535238493</c:v>
                </c:pt>
                <c:pt idx="37">
                  <c:v>2307.2142089773183</c:v>
                </c:pt>
                <c:pt idx="38">
                  <c:v>2456.328164118599</c:v>
                </c:pt>
                <c:pt idx="39">
                  <c:v>2614.2224881154052</c:v>
                </c:pt>
                <c:pt idx="40">
                  <c:v>2781.0773500809291</c:v>
                </c:pt>
                <c:pt idx="41">
                  <c:v>2957.0760905089137</c:v>
                </c:pt>
                <c:pt idx="42">
                  <c:v>3142.4048525084627</c:v>
                </c:pt>
                <c:pt idx="43">
                  <c:v>3337.2522633250251</c:v>
                </c:pt>
                <c:pt idx="44">
                  <c:v>3541.8091583252485</c:v>
                </c:pt>
                <c:pt idx="45">
                  <c:v>3756.2683409838014</c:v>
                </c:pt>
                <c:pt idx="46">
                  <c:v>3980.8243735101805</c:v>
                </c:pt>
                <c:pt idx="47">
                  <c:v>4215.6733936471719</c:v>
                </c:pt>
                <c:pt idx="48">
                  <c:v>4461.0129539021355</c:v>
                </c:pt>
                <c:pt idx="49">
                  <c:v>4717.0418800705638</c:v>
                </c:pt>
                <c:pt idx="50">
                  <c:v>4983.9601464038942</c:v>
                </c:pt>
                <c:pt idx="51">
                  <c:v>5261.9687651810709</c:v>
                </c:pt>
                <c:pt idx="52">
                  <c:v>5551.2696887814045</c:v>
                </c:pt>
                <c:pt idx="53">
                  <c:v>5852.0657226382527</c:v>
                </c:pt>
                <c:pt idx="54">
                  <c:v>6164.5604476886592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66-47BA-99A4-612C35BD205C}"/>
            </c:ext>
          </c:extLst>
        </c:ser>
        <c:ser>
          <c:idx val="2"/>
          <c:order val="2"/>
          <c:tx>
            <c:v>Min Descent Sea Level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'HW11 - Climb Descent Ceiling'!$D$15</c:f>
              <c:numCache>
                <c:formatCode>0.0000</c:formatCode>
                <c:ptCount val="1"/>
                <c:pt idx="0">
                  <c:v>0.12782250389088035</c:v>
                </c:pt>
              </c:numCache>
            </c:numRef>
          </c:xVal>
          <c:yVal>
            <c:numRef>
              <c:f>'HW11 - Climb Descent Ceiling'!$D$13</c:f>
              <c:numCache>
                <c:formatCode>0.0</c:formatCode>
                <c:ptCount val="1"/>
                <c:pt idx="0">
                  <c:v>696.32493217494732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66-47BA-99A4-612C35BD205C}"/>
            </c:ext>
          </c:extLst>
        </c:ser>
        <c:ser>
          <c:idx val="3"/>
          <c:order val="3"/>
          <c:tx>
            <c:v>Min Descent 20000 Feet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'HW11 - Climb Descent Ceiling'!$E$15</c:f>
              <c:numCache>
                <c:formatCode>0.0000</c:formatCode>
                <c:ptCount val="1"/>
                <c:pt idx="0">
                  <c:v>0.18854655792409933</c:v>
                </c:pt>
              </c:numCache>
            </c:numRef>
          </c:xVal>
          <c:yVal>
            <c:numRef>
              <c:f>'HW11 - Climb Descent Ceiling'!$E$13</c:f>
              <c:numCache>
                <c:formatCode>0.0</c:formatCode>
                <c:ptCount val="1"/>
                <c:pt idx="0">
                  <c:v>953.92175070247447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66-47BA-99A4-612C35BD2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2794527"/>
        <c:axId val="890339903"/>
      </c:scatterChart>
      <c:valAx>
        <c:axId val="1902794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</a:t>
                </a:r>
                <a:r>
                  <a:rPr lang="en-US" baseline="0"/>
                  <a:t> Number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339903"/>
        <c:crosses val="autoZero"/>
        <c:crossBetween val="midCat"/>
      </c:valAx>
      <c:valAx>
        <c:axId val="890339903"/>
        <c:scaling>
          <c:orientation val="minMax"/>
          <c:max val="4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Descent Rate (ft/min)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2794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34</xdr:row>
      <xdr:rowOff>9524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F8A527-E334-9932-4393-6FAD2251A4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34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E26013E-0F18-4A2C-AA4C-12E50D5CA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FF35AB2-ECD1-4DB2-8CB5-CFCB6F871813}" autoFormatId="16" applyNumberFormats="0" applyBorderFormats="0" applyFontFormats="0" applyPatternFormats="0" applyAlignmentFormats="0" applyWidthHeightFormats="0">
  <queryTableRefresh nextId="16">
    <queryTableFields count="15">
      <queryTableField id="1" name="Altitude (ft)" tableColumnId="1"/>
      <queryTableField id="2" name="Temperature (R)" tableColumnId="2"/>
      <queryTableField id="3" name="Temperature (°F)" tableColumnId="3"/>
      <queryTableField id="4" name="Temperature (°C)" tableColumnId="4"/>
      <queryTableField id="5" name="Temperature Ratio" tableColumnId="5"/>
      <queryTableField id="6" name="Pressure Ratio" tableColumnId="6"/>
      <queryTableField id="7" name="Pressure (lb/ft^2)" tableColumnId="7"/>
      <queryTableField id="8" name="Density (slug/ft^3)" tableColumnId="8"/>
      <queryTableField id="9" name="Density Ratio" tableColumnId="9"/>
      <queryTableField id="10" name="SQRTDR" tableColumnId="10"/>
      <queryTableField id="11" name="QMS (lb/ft^2)" tableColumnId="11"/>
      <queryTableField id="12" name="Specific Weight (lb/ft^3)" tableColumnId="12"/>
      <queryTableField id="13" name="Speed of Sound (ft/s)" tableColumnId="13"/>
      <queryTableField id="14" name="Speed of Sound (knots)" tableColumnId="14"/>
      <queryTableField id="15" name="Kinematic Viscosity (ft^2/s)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8AF1DC-2F58-4DAD-9260-D06109DD6137}" name="Question_1" displayName="Question_1" ref="A1:O62" tableType="queryTable" totalsRowShown="0">
  <autoFilter ref="A1:O62" xr:uid="{B08AF1DC-2F58-4DAD-9260-D06109DD6137}"/>
  <tableColumns count="15">
    <tableColumn id="1" xr3:uid="{960A117B-2820-4A76-A822-790234E12FA8}" uniqueName="1" name="Altitude (ft)" queryTableFieldId="1"/>
    <tableColumn id="2" xr3:uid="{DCD70373-B4B9-4C59-A657-956884C058E0}" uniqueName="2" name="Temperature (R)" queryTableFieldId="2"/>
    <tableColumn id="3" xr3:uid="{3FF8F9BC-CCA5-4330-9C84-14A28D9470A2}" uniqueName="3" name="Temperature (°F)" queryTableFieldId="3"/>
    <tableColumn id="4" xr3:uid="{F46F88E3-9190-40D2-8B00-188035E5DA24}" uniqueName="4" name="Temperature (°C)" queryTableFieldId="4"/>
    <tableColumn id="5" xr3:uid="{262AB8DE-DDD5-4438-BB9F-64DDC1AF6723}" uniqueName="5" name="Temperature Ratio" queryTableFieldId="5"/>
    <tableColumn id="6" xr3:uid="{972D876E-10AD-4DEF-8D55-864086847665}" uniqueName="6" name="Pressure Ratio" queryTableFieldId="6"/>
    <tableColumn id="7" xr3:uid="{7D4DEFAF-FE96-40A2-86F7-A161FCD88187}" uniqueName="7" name="Pressure (lb/ft^2)" queryTableFieldId="7"/>
    <tableColumn id="8" xr3:uid="{94699014-0447-4503-84D4-E9843A4B2A9A}" uniqueName="8" name="Density (slug/ft^3)" queryTableFieldId="8"/>
    <tableColumn id="9" xr3:uid="{467D8592-23DA-4E34-BE4D-8D3F1CDA0EDD}" uniqueName="9" name="Density Ratio" queryTableFieldId="9"/>
    <tableColumn id="10" xr3:uid="{A124ACAF-F14B-4657-AD93-968F7491C2AC}" uniqueName="10" name="SQRTDR" queryTableFieldId="10"/>
    <tableColumn id="11" xr3:uid="{ED676259-6843-4069-9544-5C4FC616A4F3}" uniqueName="11" name="QMS (lb/ft^2)" queryTableFieldId="11"/>
    <tableColumn id="12" xr3:uid="{197F3898-AE4E-4DE5-9CE3-1DFE7AD7BC9F}" uniqueName="12" name="Specific Weight (lb/ft^3)" queryTableFieldId="12"/>
    <tableColumn id="13" xr3:uid="{391C5109-75B1-4333-B4C8-CD6DE7C76363}" uniqueName="13" name="Speed of Sound (ft/s)" queryTableFieldId="13"/>
    <tableColumn id="14" xr3:uid="{F196C208-AF68-4572-8054-E7D6A5B9AD37}" uniqueName="14" name="Speed of Sound (knots)" queryTableFieldId="14"/>
    <tableColumn id="15" xr3:uid="{8C94B0AD-04A4-4F8F-9596-C16918C651B2}" uniqueName="15" name="Kinematic Viscosity (ft^2/s)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D8B03-69E5-42A0-9382-BB7F9D0117B8}">
  <dimension ref="A1:O62"/>
  <sheetViews>
    <sheetView topLeftCell="E1" workbookViewId="0">
      <selection activeCell="H2" sqref="H2"/>
    </sheetView>
  </sheetViews>
  <sheetFormatPr defaultRowHeight="15" x14ac:dyDescent="0.25"/>
  <cols>
    <col min="1" max="1" width="13.85546875" bestFit="1" customWidth="1"/>
    <col min="2" max="2" width="18" bestFit="1" customWidth="1"/>
    <col min="3" max="3" width="18.5703125" bestFit="1" customWidth="1"/>
    <col min="4" max="4" width="18.7109375" bestFit="1" customWidth="1"/>
    <col min="5" max="5" width="20.140625" bestFit="1" customWidth="1"/>
    <col min="6" max="6" width="16.140625" bestFit="1" customWidth="1"/>
    <col min="7" max="7" width="19" bestFit="1" customWidth="1"/>
    <col min="8" max="8" width="20" bestFit="1" customWidth="1"/>
    <col min="9" max="9" width="15" bestFit="1" customWidth="1"/>
    <col min="10" max="10" width="10.28515625" bestFit="1" customWidth="1"/>
    <col min="11" max="11" width="15.5703125" bestFit="1" customWidth="1"/>
    <col min="12" max="12" width="25.42578125" bestFit="1" customWidth="1"/>
    <col min="13" max="13" width="22.42578125" bestFit="1" customWidth="1"/>
    <col min="14" max="14" width="24.28515625" bestFit="1" customWidth="1"/>
    <col min="15" max="15" width="28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>
        <v>0</v>
      </c>
      <c r="B2">
        <v>518.70000000000005</v>
      </c>
      <c r="C2">
        <v>59</v>
      </c>
      <c r="D2">
        <v>15</v>
      </c>
      <c r="E2">
        <v>1</v>
      </c>
      <c r="F2">
        <v>1</v>
      </c>
      <c r="G2">
        <v>2116.2199999999998</v>
      </c>
      <c r="H2">
        <v>2.3768399999999999E-3</v>
      </c>
      <c r="I2">
        <v>1</v>
      </c>
      <c r="J2">
        <v>1</v>
      </c>
      <c r="K2">
        <v>1481.4</v>
      </c>
      <c r="L2">
        <v>7.6499999999999999E-2</v>
      </c>
      <c r="M2">
        <v>1116.46</v>
      </c>
      <c r="N2">
        <v>661.45</v>
      </c>
      <c r="O2">
        <v>1.5724000000000001E-4</v>
      </c>
    </row>
    <row r="3" spans="1:15" x14ac:dyDescent="0.25">
      <c r="A3">
        <v>1000</v>
      </c>
      <c r="B3">
        <v>515.1</v>
      </c>
      <c r="C3">
        <v>55.4</v>
      </c>
      <c r="D3">
        <v>13</v>
      </c>
      <c r="E3">
        <v>0.99309999999999998</v>
      </c>
      <c r="F3">
        <v>0.96430000000000005</v>
      </c>
      <c r="G3">
        <v>2040.67</v>
      </c>
      <c r="H3">
        <v>2.3080100000000001E-3</v>
      </c>
      <c r="I3">
        <v>0.97099999999999997</v>
      </c>
      <c r="J3">
        <v>0.98540000000000005</v>
      </c>
      <c r="K3">
        <v>1428.5</v>
      </c>
      <c r="L3">
        <v>7.4300000000000005E-2</v>
      </c>
      <c r="M3">
        <v>1112.58</v>
      </c>
      <c r="N3">
        <v>659.15</v>
      </c>
      <c r="O3">
        <v>1.6105000000000001E-4</v>
      </c>
    </row>
    <row r="4" spans="1:15" x14ac:dyDescent="0.25">
      <c r="A4">
        <v>2000</v>
      </c>
      <c r="B4">
        <v>511.6</v>
      </c>
      <c r="C4">
        <v>51.9</v>
      </c>
      <c r="D4">
        <v>11.1</v>
      </c>
      <c r="E4">
        <v>0.98629999999999995</v>
      </c>
      <c r="F4">
        <v>0.93010000000000004</v>
      </c>
      <c r="G4">
        <v>1968.3</v>
      </c>
      <c r="H4">
        <v>2.2413899999999998E-3</v>
      </c>
      <c r="I4">
        <v>0.94299999999999995</v>
      </c>
      <c r="J4">
        <v>0.97109999999999996</v>
      </c>
      <c r="K4">
        <v>1377.8</v>
      </c>
      <c r="L4">
        <v>7.2099999999999997E-2</v>
      </c>
      <c r="M4">
        <v>1108.79</v>
      </c>
      <c r="N4">
        <v>656.91</v>
      </c>
      <c r="O4">
        <v>1.6495999999999999E-4</v>
      </c>
    </row>
    <row r="5" spans="1:15" x14ac:dyDescent="0.25">
      <c r="A5">
        <v>3000</v>
      </c>
      <c r="B5">
        <v>508</v>
      </c>
      <c r="C5">
        <v>48.3</v>
      </c>
      <c r="D5">
        <v>9.1</v>
      </c>
      <c r="E5">
        <v>0.97940000000000005</v>
      </c>
      <c r="F5">
        <v>0.89639999999999997</v>
      </c>
      <c r="G5">
        <v>1896.98</v>
      </c>
      <c r="H5">
        <v>2.17548E-3</v>
      </c>
      <c r="I5">
        <v>0.9153</v>
      </c>
      <c r="J5">
        <v>0.95669999999999999</v>
      </c>
      <c r="K5">
        <v>1327.9</v>
      </c>
      <c r="L5">
        <v>7.0000000000000007E-2</v>
      </c>
      <c r="M5">
        <v>1104.8900000000001</v>
      </c>
      <c r="N5">
        <v>654.6</v>
      </c>
      <c r="O5">
        <v>1.6903E-4</v>
      </c>
    </row>
    <row r="6" spans="1:15" x14ac:dyDescent="0.25">
      <c r="A6">
        <v>4000</v>
      </c>
      <c r="B6">
        <v>504.4</v>
      </c>
      <c r="C6">
        <v>44.7</v>
      </c>
      <c r="D6">
        <v>7.1</v>
      </c>
      <c r="E6">
        <v>0.97240000000000004</v>
      </c>
      <c r="F6">
        <v>0.86319999999999997</v>
      </c>
      <c r="G6">
        <v>1826.72</v>
      </c>
      <c r="H6">
        <v>2.1098599999999999E-3</v>
      </c>
      <c r="I6">
        <v>0.88770000000000004</v>
      </c>
      <c r="J6">
        <v>0.94220000000000004</v>
      </c>
      <c r="K6">
        <v>1278.7</v>
      </c>
      <c r="L6">
        <v>6.7900000000000002E-2</v>
      </c>
      <c r="M6">
        <v>1100.96</v>
      </c>
      <c r="N6">
        <v>652.27</v>
      </c>
      <c r="O6">
        <v>1.7332E-4</v>
      </c>
    </row>
    <row r="7" spans="1:15" x14ac:dyDescent="0.25">
      <c r="A7">
        <v>5000</v>
      </c>
      <c r="B7">
        <v>500.9</v>
      </c>
      <c r="C7">
        <v>41.2</v>
      </c>
      <c r="D7">
        <v>5.0999999999999996</v>
      </c>
      <c r="E7">
        <v>0.9657</v>
      </c>
      <c r="F7">
        <v>0.83240000000000003</v>
      </c>
      <c r="G7">
        <v>1761.54</v>
      </c>
      <c r="H7">
        <v>2.04879E-3</v>
      </c>
      <c r="I7">
        <v>0.86199999999999999</v>
      </c>
      <c r="J7">
        <v>0.9284</v>
      </c>
      <c r="K7">
        <v>1233.0999999999999</v>
      </c>
      <c r="L7">
        <v>6.59E-2</v>
      </c>
      <c r="M7">
        <v>1097.1400000000001</v>
      </c>
      <c r="N7">
        <v>650.01</v>
      </c>
      <c r="O7">
        <v>1.7751E-4</v>
      </c>
    </row>
    <row r="8" spans="1:15" x14ac:dyDescent="0.25">
      <c r="A8">
        <v>6000</v>
      </c>
      <c r="B8">
        <v>497.3</v>
      </c>
      <c r="C8">
        <v>37.6</v>
      </c>
      <c r="D8">
        <v>3.1</v>
      </c>
      <c r="E8">
        <v>0.9587</v>
      </c>
      <c r="F8">
        <v>0.80120000000000002</v>
      </c>
      <c r="G8">
        <v>1695.52</v>
      </c>
      <c r="H8">
        <v>1.98628E-3</v>
      </c>
      <c r="I8">
        <v>0.8357</v>
      </c>
      <c r="J8">
        <v>0.91420000000000001</v>
      </c>
      <c r="K8">
        <v>1186.9000000000001</v>
      </c>
      <c r="L8">
        <v>6.3899999999999998E-2</v>
      </c>
      <c r="M8">
        <v>1093.19</v>
      </c>
      <c r="N8">
        <v>647.66999999999996</v>
      </c>
      <c r="O8">
        <v>1.8206E-4</v>
      </c>
    </row>
    <row r="9" spans="1:15" x14ac:dyDescent="0.25">
      <c r="A9">
        <v>7000</v>
      </c>
      <c r="B9">
        <v>493.7</v>
      </c>
      <c r="C9">
        <v>34</v>
      </c>
      <c r="D9">
        <v>1.1000000000000001</v>
      </c>
      <c r="E9">
        <v>0.95179999999999998</v>
      </c>
      <c r="F9">
        <v>0.77129999999999999</v>
      </c>
      <c r="G9">
        <v>1632.24</v>
      </c>
      <c r="H9">
        <v>1.9260900000000001E-3</v>
      </c>
      <c r="I9">
        <v>0.81040000000000001</v>
      </c>
      <c r="J9">
        <v>0.9002</v>
      </c>
      <c r="K9">
        <v>1142.5999999999999</v>
      </c>
      <c r="L9">
        <v>6.2E-2</v>
      </c>
      <c r="M9">
        <v>1089.22</v>
      </c>
      <c r="N9">
        <v>645.30999999999995</v>
      </c>
      <c r="O9">
        <v>1.8667999999999999E-4</v>
      </c>
    </row>
    <row r="10" spans="1:15" x14ac:dyDescent="0.25">
      <c r="A10">
        <v>8000</v>
      </c>
      <c r="B10">
        <v>490.2</v>
      </c>
      <c r="C10">
        <v>30.5</v>
      </c>
      <c r="D10">
        <v>-0.8</v>
      </c>
      <c r="E10">
        <v>0.94510000000000005</v>
      </c>
      <c r="F10">
        <v>0.74319999999999997</v>
      </c>
      <c r="G10">
        <v>1572.77</v>
      </c>
      <c r="H10">
        <v>1.8691700000000001E-3</v>
      </c>
      <c r="I10">
        <v>0.78639999999999999</v>
      </c>
      <c r="J10">
        <v>0.88680000000000003</v>
      </c>
      <c r="K10">
        <v>1100.9000000000001</v>
      </c>
      <c r="L10">
        <v>6.0100000000000001E-2</v>
      </c>
      <c r="M10">
        <v>1085.3599999999999</v>
      </c>
      <c r="N10">
        <v>643.03</v>
      </c>
      <c r="O10">
        <v>1.9128999999999999E-4</v>
      </c>
    </row>
    <row r="11" spans="1:15" x14ac:dyDescent="0.25">
      <c r="A11">
        <v>9000</v>
      </c>
      <c r="B11">
        <v>486.6</v>
      </c>
      <c r="C11">
        <v>26.9</v>
      </c>
      <c r="D11">
        <v>-2.8</v>
      </c>
      <c r="E11">
        <v>0.93810000000000004</v>
      </c>
      <c r="F11">
        <v>0.7147</v>
      </c>
      <c r="G11">
        <v>1512.46</v>
      </c>
      <c r="H11">
        <v>1.8107900000000001E-3</v>
      </c>
      <c r="I11">
        <v>0.76190000000000002</v>
      </c>
      <c r="J11">
        <v>0.87290000000000001</v>
      </c>
      <c r="K11">
        <v>1058.7</v>
      </c>
      <c r="L11">
        <v>5.8299999999999998E-2</v>
      </c>
      <c r="M11">
        <v>1081.3599999999999</v>
      </c>
      <c r="N11">
        <v>640.66</v>
      </c>
      <c r="O11">
        <v>1.9631999999999999E-4</v>
      </c>
    </row>
    <row r="12" spans="1:15" x14ac:dyDescent="0.25">
      <c r="A12">
        <v>10000</v>
      </c>
      <c r="B12">
        <v>483</v>
      </c>
      <c r="C12">
        <v>23.3</v>
      </c>
      <c r="D12">
        <v>-4.8</v>
      </c>
      <c r="E12">
        <v>0.93120000000000003</v>
      </c>
      <c r="F12">
        <v>0.6875</v>
      </c>
      <c r="G12">
        <v>1454.9</v>
      </c>
      <c r="H12">
        <v>1.75486E-3</v>
      </c>
      <c r="I12">
        <v>0.73829999999999996</v>
      </c>
      <c r="J12">
        <v>0.85919999999999996</v>
      </c>
      <c r="K12">
        <v>1018.4</v>
      </c>
      <c r="L12">
        <v>5.6500000000000002E-2</v>
      </c>
      <c r="M12">
        <v>1077.3599999999999</v>
      </c>
      <c r="N12">
        <v>638.29</v>
      </c>
      <c r="O12">
        <v>2.0138999999999999E-4</v>
      </c>
    </row>
    <row r="13" spans="1:15" x14ac:dyDescent="0.25">
      <c r="A13">
        <v>11000</v>
      </c>
      <c r="B13">
        <v>479.5</v>
      </c>
      <c r="C13">
        <v>19.8</v>
      </c>
      <c r="D13">
        <v>-6.8</v>
      </c>
      <c r="E13">
        <v>0.9244</v>
      </c>
      <c r="F13">
        <v>0.66149999999999998</v>
      </c>
      <c r="G13">
        <v>1399.88</v>
      </c>
      <c r="H13">
        <v>1.70082E-3</v>
      </c>
      <c r="I13">
        <v>0.71560000000000001</v>
      </c>
      <c r="J13">
        <v>0.84589999999999999</v>
      </c>
      <c r="K13">
        <v>979.9</v>
      </c>
      <c r="L13">
        <v>5.4699999999999999E-2</v>
      </c>
      <c r="M13">
        <v>1073.45</v>
      </c>
      <c r="N13">
        <v>635.97</v>
      </c>
      <c r="O13">
        <v>2.0659000000000001E-4</v>
      </c>
    </row>
    <row r="14" spans="1:15" x14ac:dyDescent="0.25">
      <c r="A14">
        <v>12000</v>
      </c>
      <c r="B14">
        <v>475.9</v>
      </c>
      <c r="C14">
        <v>16.2</v>
      </c>
      <c r="D14">
        <v>-8.8000000000000007</v>
      </c>
      <c r="E14">
        <v>0.91749999999999998</v>
      </c>
      <c r="F14">
        <v>0.63600000000000001</v>
      </c>
      <c r="G14">
        <v>1345.92</v>
      </c>
      <c r="H14">
        <v>1.64763E-3</v>
      </c>
      <c r="I14">
        <v>0.69320000000000004</v>
      </c>
      <c r="J14">
        <v>0.83260000000000001</v>
      </c>
      <c r="K14">
        <v>942.1</v>
      </c>
      <c r="L14">
        <v>5.2999999999999999E-2</v>
      </c>
      <c r="M14">
        <v>1069.4100000000001</v>
      </c>
      <c r="N14">
        <v>633.58000000000004</v>
      </c>
      <c r="O14">
        <v>2.1199000000000001E-4</v>
      </c>
    </row>
    <row r="15" spans="1:15" x14ac:dyDescent="0.25">
      <c r="A15">
        <v>13000</v>
      </c>
      <c r="B15">
        <v>472.3</v>
      </c>
      <c r="C15">
        <v>12.6</v>
      </c>
      <c r="D15">
        <v>-10.8</v>
      </c>
      <c r="E15">
        <v>0.91049999999999998</v>
      </c>
      <c r="F15">
        <v>0.6109</v>
      </c>
      <c r="G15">
        <v>1292.8</v>
      </c>
      <c r="H15">
        <v>1.5946700000000001E-3</v>
      </c>
      <c r="I15">
        <v>0.67100000000000004</v>
      </c>
      <c r="J15">
        <v>0.81910000000000005</v>
      </c>
      <c r="K15">
        <v>905</v>
      </c>
      <c r="L15">
        <v>5.1299999999999998E-2</v>
      </c>
      <c r="M15">
        <v>1065.3599999999999</v>
      </c>
      <c r="N15">
        <v>631.17999999999995</v>
      </c>
      <c r="O15">
        <v>2.1771E-4</v>
      </c>
    </row>
    <row r="16" spans="1:15" x14ac:dyDescent="0.25">
      <c r="A16">
        <v>14000</v>
      </c>
      <c r="B16">
        <v>468.8</v>
      </c>
      <c r="C16">
        <v>9.1</v>
      </c>
      <c r="D16">
        <v>-12.7</v>
      </c>
      <c r="E16">
        <v>0.90380000000000005</v>
      </c>
      <c r="F16">
        <v>0.58760000000000001</v>
      </c>
      <c r="G16">
        <v>1243.49</v>
      </c>
      <c r="H16">
        <v>1.5452899999999999E-3</v>
      </c>
      <c r="I16">
        <v>0.65010000000000001</v>
      </c>
      <c r="J16">
        <v>0.80630000000000002</v>
      </c>
      <c r="K16">
        <v>870.4</v>
      </c>
      <c r="L16">
        <v>4.9700000000000001E-2</v>
      </c>
      <c r="M16">
        <v>1061.4000000000001</v>
      </c>
      <c r="N16">
        <v>628.83000000000004</v>
      </c>
      <c r="O16">
        <v>2.2334000000000001E-4</v>
      </c>
    </row>
    <row r="17" spans="1:15" x14ac:dyDescent="0.25">
      <c r="A17">
        <v>15000</v>
      </c>
      <c r="B17">
        <v>465.2</v>
      </c>
      <c r="C17">
        <v>5.5</v>
      </c>
      <c r="D17">
        <v>-14.7</v>
      </c>
      <c r="E17">
        <v>0.89690000000000003</v>
      </c>
      <c r="F17">
        <v>0.56440000000000001</v>
      </c>
      <c r="G17">
        <v>1194.3900000000001</v>
      </c>
      <c r="H17">
        <v>1.4957600000000001E-3</v>
      </c>
      <c r="I17">
        <v>0.62929999999999997</v>
      </c>
      <c r="J17">
        <v>0.79330000000000001</v>
      </c>
      <c r="K17">
        <v>836.1</v>
      </c>
      <c r="L17">
        <v>4.8099999999999997E-2</v>
      </c>
      <c r="M17">
        <v>1057.32</v>
      </c>
      <c r="N17">
        <v>626.41999999999996</v>
      </c>
      <c r="O17">
        <v>2.2932000000000001E-4</v>
      </c>
    </row>
    <row r="18" spans="1:15" x14ac:dyDescent="0.25">
      <c r="A18">
        <v>16000</v>
      </c>
      <c r="B18">
        <v>461.6</v>
      </c>
      <c r="C18">
        <v>1.9</v>
      </c>
      <c r="D18">
        <v>-16.7</v>
      </c>
      <c r="E18">
        <v>0.88990000000000002</v>
      </c>
      <c r="F18">
        <v>0.54169999999999996</v>
      </c>
      <c r="G18">
        <v>1146.3599999999999</v>
      </c>
      <c r="H18">
        <v>1.44681E-3</v>
      </c>
      <c r="I18">
        <v>0.60870000000000002</v>
      </c>
      <c r="J18">
        <v>0.7802</v>
      </c>
      <c r="K18">
        <v>802.4</v>
      </c>
      <c r="L18">
        <v>4.65E-2</v>
      </c>
      <c r="M18">
        <v>1053.22</v>
      </c>
      <c r="N18">
        <v>623.99</v>
      </c>
      <c r="O18">
        <v>2.3561E-4</v>
      </c>
    </row>
    <row r="19" spans="1:15" x14ac:dyDescent="0.25">
      <c r="A19">
        <v>17000</v>
      </c>
      <c r="B19">
        <v>458.1</v>
      </c>
      <c r="C19">
        <v>-1.6</v>
      </c>
      <c r="D19">
        <v>-18.7</v>
      </c>
      <c r="E19">
        <v>0.88319999999999999</v>
      </c>
      <c r="F19">
        <v>0.52059999999999995</v>
      </c>
      <c r="G19">
        <v>1101.7</v>
      </c>
      <c r="H19">
        <v>1.4010699999999999E-3</v>
      </c>
      <c r="I19">
        <v>0.58940000000000003</v>
      </c>
      <c r="J19">
        <v>0.76770000000000005</v>
      </c>
      <c r="K19">
        <v>771.2</v>
      </c>
      <c r="L19">
        <v>4.5100000000000001E-2</v>
      </c>
      <c r="M19">
        <v>1049.22</v>
      </c>
      <c r="N19">
        <v>621.62</v>
      </c>
      <c r="O19">
        <v>2.4182000000000001E-4</v>
      </c>
    </row>
    <row r="20" spans="1:15" x14ac:dyDescent="0.25">
      <c r="A20">
        <v>18000</v>
      </c>
      <c r="B20">
        <v>454.5</v>
      </c>
      <c r="C20">
        <v>-5.2</v>
      </c>
      <c r="D20">
        <v>-20.7</v>
      </c>
      <c r="E20">
        <v>0.87619999999999998</v>
      </c>
      <c r="F20">
        <v>0.49919999999999998</v>
      </c>
      <c r="G20">
        <v>1056.42</v>
      </c>
      <c r="H20">
        <v>1.35413E-3</v>
      </c>
      <c r="I20">
        <v>0.56969999999999998</v>
      </c>
      <c r="J20">
        <v>0.75480000000000003</v>
      </c>
      <c r="K20">
        <v>739.5</v>
      </c>
      <c r="L20">
        <v>4.36E-2</v>
      </c>
      <c r="M20">
        <v>1045.0899999999999</v>
      </c>
      <c r="N20">
        <v>619.16999999999996</v>
      </c>
      <c r="O20">
        <v>2.4862000000000002E-4</v>
      </c>
    </row>
    <row r="21" spans="1:15" x14ac:dyDescent="0.25">
      <c r="A21">
        <v>19000</v>
      </c>
      <c r="B21">
        <v>450.9</v>
      </c>
      <c r="C21">
        <v>-8.8000000000000007</v>
      </c>
      <c r="D21">
        <v>-22.7</v>
      </c>
      <c r="E21">
        <v>0.86929999999999996</v>
      </c>
      <c r="F21">
        <v>0.47889999999999999</v>
      </c>
      <c r="G21">
        <v>1013.46</v>
      </c>
      <c r="H21">
        <v>1.3094300000000001E-3</v>
      </c>
      <c r="I21">
        <v>0.55089999999999995</v>
      </c>
      <c r="J21">
        <v>0.74219999999999997</v>
      </c>
      <c r="K21">
        <v>709.4</v>
      </c>
      <c r="L21">
        <v>4.2099999999999999E-2</v>
      </c>
      <c r="M21">
        <v>1040.94</v>
      </c>
      <c r="N21">
        <v>616.71</v>
      </c>
      <c r="O21">
        <v>2.5546999999999999E-4</v>
      </c>
    </row>
    <row r="22" spans="1:15" x14ac:dyDescent="0.25">
      <c r="A22">
        <v>20000</v>
      </c>
      <c r="B22">
        <v>447.4</v>
      </c>
      <c r="C22">
        <v>-12.3</v>
      </c>
      <c r="D22">
        <v>-24.6</v>
      </c>
      <c r="E22">
        <v>0.86250000000000004</v>
      </c>
      <c r="F22">
        <v>0.45960000000000001</v>
      </c>
      <c r="G22">
        <v>972.61</v>
      </c>
      <c r="H22">
        <v>1.2664799999999999E-3</v>
      </c>
      <c r="I22">
        <v>0.53290000000000004</v>
      </c>
      <c r="J22">
        <v>0.73</v>
      </c>
      <c r="K22">
        <v>680.8</v>
      </c>
      <c r="L22">
        <v>4.07E-2</v>
      </c>
      <c r="M22">
        <v>1036.8900000000001</v>
      </c>
      <c r="N22">
        <v>614.30999999999995</v>
      </c>
      <c r="O22">
        <v>2.6247999999999999E-4</v>
      </c>
    </row>
    <row r="23" spans="1:15" x14ac:dyDescent="0.25">
      <c r="A23">
        <v>21000</v>
      </c>
      <c r="B23">
        <v>443.8</v>
      </c>
      <c r="C23">
        <v>-15.9</v>
      </c>
      <c r="D23">
        <v>-26.6</v>
      </c>
      <c r="E23">
        <v>0.85560000000000003</v>
      </c>
      <c r="F23">
        <v>0.44059999999999999</v>
      </c>
      <c r="G23">
        <v>932.41</v>
      </c>
      <c r="H23">
        <v>1.2239799999999999E-3</v>
      </c>
      <c r="I23">
        <v>0.51500000000000001</v>
      </c>
      <c r="J23">
        <v>0.71760000000000002</v>
      </c>
      <c r="K23">
        <v>652.70000000000005</v>
      </c>
      <c r="L23">
        <v>3.9399999999999998E-2</v>
      </c>
      <c r="M23">
        <v>1032.71</v>
      </c>
      <c r="N23">
        <v>611.84</v>
      </c>
      <c r="O23">
        <v>2.6981999999999999E-4</v>
      </c>
    </row>
    <row r="24" spans="1:15" x14ac:dyDescent="0.25">
      <c r="A24">
        <v>22000</v>
      </c>
      <c r="B24">
        <v>440.2</v>
      </c>
      <c r="C24">
        <v>-19.5</v>
      </c>
      <c r="D24">
        <v>-28.6</v>
      </c>
      <c r="E24">
        <v>0.84870000000000001</v>
      </c>
      <c r="F24">
        <v>0.42220000000000002</v>
      </c>
      <c r="G24">
        <v>893.47</v>
      </c>
      <c r="H24">
        <v>1.18246E-3</v>
      </c>
      <c r="I24">
        <v>0.4975</v>
      </c>
      <c r="J24">
        <v>0.70530000000000004</v>
      </c>
      <c r="K24">
        <v>625.4</v>
      </c>
      <c r="L24">
        <v>3.7999999999999999E-2</v>
      </c>
      <c r="M24">
        <v>1028.52</v>
      </c>
      <c r="N24">
        <v>609.35</v>
      </c>
      <c r="O24">
        <v>2.7745999999999999E-4</v>
      </c>
    </row>
    <row r="25" spans="1:15" x14ac:dyDescent="0.25">
      <c r="A25">
        <v>23000</v>
      </c>
      <c r="B25">
        <v>436.7</v>
      </c>
      <c r="C25">
        <v>-23</v>
      </c>
      <c r="D25">
        <v>-30.6</v>
      </c>
      <c r="E25">
        <v>0.84189999999999998</v>
      </c>
      <c r="F25">
        <v>0.4047</v>
      </c>
      <c r="G25">
        <v>856.43</v>
      </c>
      <c r="H25">
        <v>1.14252E-3</v>
      </c>
      <c r="I25">
        <v>0.48070000000000002</v>
      </c>
      <c r="J25">
        <v>0.69330000000000003</v>
      </c>
      <c r="K25">
        <v>599.5</v>
      </c>
      <c r="L25">
        <v>3.6799999999999999E-2</v>
      </c>
      <c r="M25">
        <v>1024.42</v>
      </c>
      <c r="N25">
        <v>606.91999999999996</v>
      </c>
      <c r="O25">
        <v>2.853E-4</v>
      </c>
    </row>
    <row r="26" spans="1:15" x14ac:dyDescent="0.25">
      <c r="A26">
        <v>24000</v>
      </c>
      <c r="B26">
        <v>433.1</v>
      </c>
      <c r="C26">
        <v>-26.6</v>
      </c>
      <c r="D26">
        <v>-32.6</v>
      </c>
      <c r="E26">
        <v>0.83499999999999996</v>
      </c>
      <c r="F26">
        <v>0.3876</v>
      </c>
      <c r="G26">
        <v>820.25</v>
      </c>
      <c r="H26">
        <v>1.1033499999999999E-3</v>
      </c>
      <c r="I26">
        <v>0.4642</v>
      </c>
      <c r="J26">
        <v>0.68130000000000002</v>
      </c>
      <c r="K26">
        <v>574.20000000000005</v>
      </c>
      <c r="L26">
        <v>3.5499999999999997E-2</v>
      </c>
      <c r="M26">
        <v>1020.19</v>
      </c>
      <c r="N26">
        <v>604.41999999999996</v>
      </c>
      <c r="O26">
        <v>2.9345E-4</v>
      </c>
    </row>
    <row r="27" spans="1:15" x14ac:dyDescent="0.25">
      <c r="A27">
        <v>25000</v>
      </c>
      <c r="B27">
        <v>429.6</v>
      </c>
      <c r="C27">
        <v>-30.1</v>
      </c>
      <c r="D27">
        <v>-34.5</v>
      </c>
      <c r="E27">
        <v>0.82820000000000005</v>
      </c>
      <c r="F27">
        <v>0.37130000000000002</v>
      </c>
      <c r="G27">
        <v>785.75</v>
      </c>
      <c r="H27">
        <v>1.0655599999999999E-3</v>
      </c>
      <c r="I27">
        <v>0.44829999999999998</v>
      </c>
      <c r="J27">
        <v>0.66959999999999997</v>
      </c>
      <c r="K27">
        <v>550</v>
      </c>
      <c r="L27">
        <v>3.4299999999999997E-2</v>
      </c>
      <c r="M27">
        <v>1016.06</v>
      </c>
      <c r="N27">
        <v>601.97</v>
      </c>
      <c r="O27">
        <v>3.0184999999999999E-4</v>
      </c>
    </row>
    <row r="28" spans="1:15" x14ac:dyDescent="0.25">
      <c r="A28">
        <v>26000</v>
      </c>
      <c r="B28">
        <v>426</v>
      </c>
      <c r="C28">
        <v>-33.700000000000003</v>
      </c>
      <c r="D28">
        <v>-36.5</v>
      </c>
      <c r="E28">
        <v>0.82130000000000003</v>
      </c>
      <c r="F28">
        <v>0.3553</v>
      </c>
      <c r="G28">
        <v>751.89</v>
      </c>
      <c r="H28">
        <v>1.02826E-3</v>
      </c>
      <c r="I28">
        <v>0.43259999999999998</v>
      </c>
      <c r="J28">
        <v>0.65769999999999995</v>
      </c>
      <c r="K28">
        <v>526.29999999999995</v>
      </c>
      <c r="L28">
        <v>3.3099999999999997E-2</v>
      </c>
      <c r="M28">
        <v>1011.79</v>
      </c>
      <c r="N28">
        <v>599.44000000000005</v>
      </c>
      <c r="O28">
        <v>3.1065999999999998E-4</v>
      </c>
    </row>
    <row r="29" spans="1:15" x14ac:dyDescent="0.25">
      <c r="A29">
        <v>27000</v>
      </c>
      <c r="B29">
        <v>422.4</v>
      </c>
      <c r="C29">
        <v>-37.299999999999997</v>
      </c>
      <c r="D29">
        <v>-38.5</v>
      </c>
      <c r="E29">
        <v>0.81430000000000002</v>
      </c>
      <c r="F29">
        <v>0.3397</v>
      </c>
      <c r="G29">
        <v>718.88</v>
      </c>
      <c r="H29">
        <v>9.9149000000000004E-4</v>
      </c>
      <c r="I29">
        <v>0.41720000000000002</v>
      </c>
      <c r="J29">
        <v>0.64590000000000003</v>
      </c>
      <c r="K29">
        <v>503.2</v>
      </c>
      <c r="L29">
        <v>3.1899999999999998E-2</v>
      </c>
      <c r="M29">
        <v>1007.51</v>
      </c>
      <c r="N29">
        <v>596.91</v>
      </c>
      <c r="O29">
        <v>3.1995E-4</v>
      </c>
    </row>
    <row r="30" spans="1:15" x14ac:dyDescent="0.25">
      <c r="A30">
        <v>28000</v>
      </c>
      <c r="B30">
        <v>418.9</v>
      </c>
      <c r="C30">
        <v>-40.799999999999997</v>
      </c>
      <c r="D30">
        <v>-40.4</v>
      </c>
      <c r="E30">
        <v>0.80759999999999998</v>
      </c>
      <c r="F30">
        <v>0.32519999999999999</v>
      </c>
      <c r="G30">
        <v>688.19</v>
      </c>
      <c r="H30">
        <v>9.5708999999999996E-4</v>
      </c>
      <c r="I30">
        <v>0.4027</v>
      </c>
      <c r="J30">
        <v>0.63460000000000005</v>
      </c>
      <c r="K30">
        <v>481.7</v>
      </c>
      <c r="L30">
        <v>3.0800000000000001E-2</v>
      </c>
      <c r="M30">
        <v>1003.32</v>
      </c>
      <c r="N30">
        <v>594.41999999999996</v>
      </c>
      <c r="O30">
        <v>3.2918999999999998E-4</v>
      </c>
    </row>
    <row r="31" spans="1:15" x14ac:dyDescent="0.25">
      <c r="A31">
        <v>29000</v>
      </c>
      <c r="B31">
        <v>415.3</v>
      </c>
      <c r="C31">
        <v>-44.4</v>
      </c>
      <c r="D31">
        <v>-42.4</v>
      </c>
      <c r="E31">
        <v>0.80069999999999997</v>
      </c>
      <c r="F31">
        <v>0.31090000000000001</v>
      </c>
      <c r="G31">
        <v>657.93</v>
      </c>
      <c r="H31">
        <v>9.2294000000000002E-4</v>
      </c>
      <c r="I31">
        <v>0.38829999999999998</v>
      </c>
      <c r="J31">
        <v>0.62309999999999999</v>
      </c>
      <c r="K31">
        <v>460.6</v>
      </c>
      <c r="L31">
        <v>2.9700000000000001E-2</v>
      </c>
      <c r="M31">
        <v>999</v>
      </c>
      <c r="N31">
        <v>591.86</v>
      </c>
      <c r="O31">
        <v>3.3896000000000002E-4</v>
      </c>
    </row>
    <row r="32" spans="1:15" x14ac:dyDescent="0.25">
      <c r="A32">
        <v>30000</v>
      </c>
      <c r="B32">
        <v>411.7</v>
      </c>
      <c r="C32">
        <v>-48</v>
      </c>
      <c r="D32">
        <v>-44.4</v>
      </c>
      <c r="E32">
        <v>0.79369999999999996</v>
      </c>
      <c r="F32">
        <v>0.2969</v>
      </c>
      <c r="G32">
        <v>628.30999999999995</v>
      </c>
      <c r="H32">
        <v>8.8909999999999998E-4</v>
      </c>
      <c r="I32">
        <v>0.37409999999999999</v>
      </c>
      <c r="J32">
        <v>0.61160000000000003</v>
      </c>
      <c r="K32">
        <v>439.8</v>
      </c>
      <c r="L32">
        <v>2.86E-2</v>
      </c>
      <c r="M32">
        <v>994.66</v>
      </c>
      <c r="N32">
        <v>589.29</v>
      </c>
      <c r="O32">
        <v>3.4934000000000001E-4</v>
      </c>
    </row>
    <row r="33" spans="1:15" x14ac:dyDescent="0.25">
      <c r="A33">
        <v>31000</v>
      </c>
      <c r="B33">
        <v>408.2</v>
      </c>
      <c r="C33">
        <v>-51.5</v>
      </c>
      <c r="D33">
        <v>-46.4</v>
      </c>
      <c r="E33">
        <v>0.78700000000000003</v>
      </c>
      <c r="F33">
        <v>0.28389999999999999</v>
      </c>
      <c r="G33">
        <v>600.79</v>
      </c>
      <c r="H33">
        <v>8.5744E-4</v>
      </c>
      <c r="I33">
        <v>0.36070000000000002</v>
      </c>
      <c r="J33">
        <v>0.60060000000000002</v>
      </c>
      <c r="K33">
        <v>420.6</v>
      </c>
      <c r="L33">
        <v>2.76E-2</v>
      </c>
      <c r="M33">
        <v>990.43</v>
      </c>
      <c r="N33">
        <v>586.79</v>
      </c>
      <c r="O33">
        <v>3.5969000000000002E-4</v>
      </c>
    </row>
    <row r="34" spans="1:15" x14ac:dyDescent="0.25">
      <c r="A34">
        <v>32000</v>
      </c>
      <c r="B34">
        <v>404.6</v>
      </c>
      <c r="C34">
        <v>-55.1</v>
      </c>
      <c r="D34">
        <v>-48.4</v>
      </c>
      <c r="E34">
        <v>0.78</v>
      </c>
      <c r="F34">
        <v>0.27089999999999997</v>
      </c>
      <c r="G34">
        <v>573.28</v>
      </c>
      <c r="H34">
        <v>8.2545999999999997E-4</v>
      </c>
      <c r="I34">
        <v>0.3473</v>
      </c>
      <c r="J34">
        <v>0.58930000000000005</v>
      </c>
      <c r="K34">
        <v>401.3</v>
      </c>
      <c r="L34">
        <v>2.6599999999999999E-2</v>
      </c>
      <c r="M34">
        <v>986.05</v>
      </c>
      <c r="N34">
        <v>584.19000000000005</v>
      </c>
      <c r="O34">
        <v>3.7090000000000002E-4</v>
      </c>
    </row>
    <row r="35" spans="1:15" x14ac:dyDescent="0.25">
      <c r="A35">
        <v>33000</v>
      </c>
      <c r="B35">
        <v>401</v>
      </c>
      <c r="C35">
        <v>-58.7</v>
      </c>
      <c r="D35">
        <v>-50.4</v>
      </c>
      <c r="E35">
        <v>0.77310000000000001</v>
      </c>
      <c r="F35">
        <v>0.25850000000000001</v>
      </c>
      <c r="G35">
        <v>547.04</v>
      </c>
      <c r="H35">
        <v>7.9474999999999999E-4</v>
      </c>
      <c r="I35">
        <v>0.33439999999999998</v>
      </c>
      <c r="J35">
        <v>0.57830000000000004</v>
      </c>
      <c r="K35">
        <v>382.9</v>
      </c>
      <c r="L35">
        <v>2.5600000000000001E-2</v>
      </c>
      <c r="M35">
        <v>981.65</v>
      </c>
      <c r="N35">
        <v>581.58000000000004</v>
      </c>
      <c r="O35">
        <v>3.8237999999999998E-4</v>
      </c>
    </row>
    <row r="36" spans="1:15" x14ac:dyDescent="0.25">
      <c r="A36">
        <v>34000</v>
      </c>
      <c r="B36">
        <v>397.5</v>
      </c>
      <c r="C36">
        <v>-62.2</v>
      </c>
      <c r="D36">
        <v>-52.3</v>
      </c>
      <c r="E36">
        <v>0.76629999999999998</v>
      </c>
      <c r="F36">
        <v>0.24679999999999999</v>
      </c>
      <c r="G36">
        <v>522.28</v>
      </c>
      <c r="H36">
        <v>7.6546000000000003E-4</v>
      </c>
      <c r="I36">
        <v>0.3221</v>
      </c>
      <c r="J36">
        <v>0.5675</v>
      </c>
      <c r="K36">
        <v>365.6</v>
      </c>
      <c r="L36">
        <v>2.46E-2</v>
      </c>
      <c r="M36">
        <v>977.36</v>
      </c>
      <c r="N36">
        <v>579.04</v>
      </c>
      <c r="O36">
        <v>3.9413000000000002E-4</v>
      </c>
    </row>
    <row r="37" spans="1:15" x14ac:dyDescent="0.25">
      <c r="A37">
        <v>35000</v>
      </c>
      <c r="B37">
        <v>393.9</v>
      </c>
      <c r="C37">
        <v>-65.8</v>
      </c>
      <c r="D37">
        <v>-54.3</v>
      </c>
      <c r="E37">
        <v>0.75939999999999996</v>
      </c>
      <c r="F37">
        <v>0.2354</v>
      </c>
      <c r="G37">
        <v>498.16</v>
      </c>
      <c r="H37">
        <v>7.3678000000000003E-4</v>
      </c>
      <c r="I37">
        <v>0.31</v>
      </c>
      <c r="J37">
        <v>0.55679999999999996</v>
      </c>
      <c r="K37">
        <v>348.7</v>
      </c>
      <c r="L37">
        <v>2.3699999999999999E-2</v>
      </c>
      <c r="M37">
        <v>972.92</v>
      </c>
      <c r="N37">
        <v>576.41</v>
      </c>
      <c r="O37">
        <v>4.0636999999999997E-4</v>
      </c>
    </row>
    <row r="38" spans="1:15" x14ac:dyDescent="0.25">
      <c r="A38">
        <v>36000</v>
      </c>
      <c r="B38">
        <v>390.3</v>
      </c>
      <c r="C38">
        <v>-69.400000000000006</v>
      </c>
      <c r="D38">
        <v>-56.3</v>
      </c>
      <c r="E38">
        <v>0.75249999999999995</v>
      </c>
      <c r="F38">
        <v>0.2243</v>
      </c>
      <c r="G38">
        <v>474.67</v>
      </c>
      <c r="H38">
        <v>7.0852000000000003E-4</v>
      </c>
      <c r="I38">
        <v>0.29809999999999998</v>
      </c>
      <c r="J38">
        <v>0.54600000000000004</v>
      </c>
      <c r="K38">
        <v>332.3</v>
      </c>
      <c r="L38">
        <v>2.2800000000000001E-2</v>
      </c>
      <c r="M38">
        <v>968.47</v>
      </c>
      <c r="N38">
        <v>573.78</v>
      </c>
      <c r="O38">
        <v>4.1934999999999997E-4</v>
      </c>
    </row>
    <row r="39" spans="1:15" x14ac:dyDescent="0.25">
      <c r="A39">
        <v>37000</v>
      </c>
      <c r="B39">
        <v>390</v>
      </c>
      <c r="C39">
        <v>-69.7</v>
      </c>
      <c r="D39">
        <v>-56.5</v>
      </c>
      <c r="E39">
        <v>0.75190000000000001</v>
      </c>
      <c r="F39">
        <v>0.21379999999999999</v>
      </c>
      <c r="G39">
        <v>452.45</v>
      </c>
      <c r="H39">
        <v>6.7586999999999996E-4</v>
      </c>
      <c r="I39">
        <v>0.2843</v>
      </c>
      <c r="J39">
        <v>0.53320000000000001</v>
      </c>
      <c r="K39">
        <v>316.7</v>
      </c>
      <c r="L39">
        <v>2.1700000000000001E-2</v>
      </c>
      <c r="M39">
        <v>968.1</v>
      </c>
      <c r="N39">
        <v>573.55999999999995</v>
      </c>
      <c r="O39">
        <v>4.3931999999999999E-4</v>
      </c>
    </row>
    <row r="40" spans="1:15" x14ac:dyDescent="0.25">
      <c r="A40">
        <v>38000</v>
      </c>
      <c r="B40">
        <v>390</v>
      </c>
      <c r="C40">
        <v>-69.7</v>
      </c>
      <c r="D40">
        <v>-56.5</v>
      </c>
      <c r="E40">
        <v>0.75190000000000001</v>
      </c>
      <c r="F40">
        <v>0.20369999999999999</v>
      </c>
      <c r="G40">
        <v>431.07</v>
      </c>
      <c r="H40">
        <v>6.4393000000000002E-4</v>
      </c>
      <c r="I40">
        <v>0.27089999999999997</v>
      </c>
      <c r="J40">
        <v>0.52049999999999996</v>
      </c>
      <c r="K40">
        <v>301.8</v>
      </c>
      <c r="L40">
        <v>2.07E-2</v>
      </c>
      <c r="M40">
        <v>968.1</v>
      </c>
      <c r="N40">
        <v>573.55999999999995</v>
      </c>
      <c r="O40">
        <v>4.6110999999999998E-4</v>
      </c>
    </row>
    <row r="41" spans="1:15" x14ac:dyDescent="0.25">
      <c r="A41">
        <v>39000</v>
      </c>
      <c r="B41">
        <v>390</v>
      </c>
      <c r="C41">
        <v>-69.7</v>
      </c>
      <c r="D41">
        <v>-56.5</v>
      </c>
      <c r="E41">
        <v>0.75190000000000001</v>
      </c>
      <c r="F41">
        <v>0.19420000000000001</v>
      </c>
      <c r="G41">
        <v>410.97</v>
      </c>
      <c r="H41">
        <v>6.1390999999999995E-4</v>
      </c>
      <c r="I41">
        <v>0.25829999999999997</v>
      </c>
      <c r="J41">
        <v>0.50819999999999999</v>
      </c>
      <c r="K41">
        <v>287.7</v>
      </c>
      <c r="L41">
        <v>1.9800000000000002E-2</v>
      </c>
      <c r="M41">
        <v>968.1</v>
      </c>
      <c r="N41">
        <v>573.55999999999995</v>
      </c>
      <c r="O41">
        <v>4.8366000000000001E-4</v>
      </c>
    </row>
    <row r="42" spans="1:15" x14ac:dyDescent="0.25">
      <c r="A42">
        <v>40000</v>
      </c>
      <c r="B42">
        <v>390</v>
      </c>
      <c r="C42">
        <v>-69.7</v>
      </c>
      <c r="D42">
        <v>-56.5</v>
      </c>
      <c r="E42">
        <v>0.75190000000000001</v>
      </c>
      <c r="F42">
        <v>0.18509999999999999</v>
      </c>
      <c r="G42">
        <v>391.71</v>
      </c>
      <c r="H42">
        <v>5.8514000000000005E-4</v>
      </c>
      <c r="I42">
        <v>0.2462</v>
      </c>
      <c r="J42">
        <v>0.49619999999999997</v>
      </c>
      <c r="K42">
        <v>274.2</v>
      </c>
      <c r="L42">
        <v>1.8800000000000001E-2</v>
      </c>
      <c r="M42">
        <v>968.1</v>
      </c>
      <c r="N42">
        <v>573.55999999999995</v>
      </c>
      <c r="O42">
        <v>5.0743999999999995E-4</v>
      </c>
    </row>
    <row r="43" spans="1:15" x14ac:dyDescent="0.25">
      <c r="A43">
        <v>41000</v>
      </c>
      <c r="B43">
        <v>390</v>
      </c>
      <c r="C43">
        <v>-69.7</v>
      </c>
      <c r="D43">
        <v>-56.5</v>
      </c>
      <c r="E43">
        <v>0.75190000000000001</v>
      </c>
      <c r="F43">
        <v>0.1764</v>
      </c>
      <c r="G43">
        <v>373.3</v>
      </c>
      <c r="H43">
        <v>5.5763000000000004E-4</v>
      </c>
      <c r="I43">
        <v>0.2346</v>
      </c>
      <c r="J43">
        <v>0.4844</v>
      </c>
      <c r="K43">
        <v>261.3</v>
      </c>
      <c r="L43">
        <v>1.7899999999999999E-2</v>
      </c>
      <c r="M43">
        <v>968.1</v>
      </c>
      <c r="N43">
        <v>573.55999999999995</v>
      </c>
      <c r="O43">
        <v>5.3248E-4</v>
      </c>
    </row>
    <row r="44" spans="1:15" x14ac:dyDescent="0.25">
      <c r="A44">
        <v>42000</v>
      </c>
      <c r="B44">
        <v>390</v>
      </c>
      <c r="C44">
        <v>-69.7</v>
      </c>
      <c r="D44">
        <v>-56.5</v>
      </c>
      <c r="E44">
        <v>0.75190000000000001</v>
      </c>
      <c r="F44">
        <v>0.1681</v>
      </c>
      <c r="G44">
        <v>355.74</v>
      </c>
      <c r="H44">
        <v>5.3140000000000001E-4</v>
      </c>
      <c r="I44">
        <v>0.22359999999999999</v>
      </c>
      <c r="J44">
        <v>0.47289999999999999</v>
      </c>
      <c r="K44">
        <v>249</v>
      </c>
      <c r="L44">
        <v>1.7100000000000001E-2</v>
      </c>
      <c r="M44">
        <v>968.1</v>
      </c>
      <c r="N44">
        <v>573.55999999999995</v>
      </c>
      <c r="O44">
        <v>5.5876000000000005E-4</v>
      </c>
    </row>
    <row r="45" spans="1:15" x14ac:dyDescent="0.25">
      <c r="A45">
        <v>43000</v>
      </c>
      <c r="B45">
        <v>390</v>
      </c>
      <c r="C45">
        <v>-69.7</v>
      </c>
      <c r="D45">
        <v>-56.5</v>
      </c>
      <c r="E45">
        <v>0.75190000000000001</v>
      </c>
      <c r="F45">
        <v>0.16020000000000001</v>
      </c>
      <c r="G45">
        <v>339.02</v>
      </c>
      <c r="H45">
        <v>5.0642999999999999E-4</v>
      </c>
      <c r="I45">
        <v>0.21310000000000001</v>
      </c>
      <c r="J45">
        <v>0.46160000000000001</v>
      </c>
      <c r="K45">
        <v>237.3</v>
      </c>
      <c r="L45">
        <v>1.6299999999999999E-2</v>
      </c>
      <c r="M45">
        <v>968.1</v>
      </c>
      <c r="N45">
        <v>573.55999999999995</v>
      </c>
      <c r="O45">
        <v>5.8631000000000004E-4</v>
      </c>
    </row>
    <row r="46" spans="1:15" x14ac:dyDescent="0.25">
      <c r="A46">
        <v>44000</v>
      </c>
      <c r="B46">
        <v>390</v>
      </c>
      <c r="C46">
        <v>-69.7</v>
      </c>
      <c r="D46">
        <v>-56.5</v>
      </c>
      <c r="E46">
        <v>0.75190000000000001</v>
      </c>
      <c r="F46">
        <v>0.1527</v>
      </c>
      <c r="G46">
        <v>323.14999999999998</v>
      </c>
      <c r="H46">
        <v>4.8272000000000001E-4</v>
      </c>
      <c r="I46">
        <v>0.2031</v>
      </c>
      <c r="J46">
        <v>0.45069999999999999</v>
      </c>
      <c r="K46">
        <v>226.2</v>
      </c>
      <c r="L46">
        <v>1.55E-2</v>
      </c>
      <c r="M46">
        <v>968.1</v>
      </c>
      <c r="N46">
        <v>573.55999999999995</v>
      </c>
      <c r="O46">
        <v>6.1510999999999998E-4</v>
      </c>
    </row>
    <row r="47" spans="1:15" x14ac:dyDescent="0.25">
      <c r="A47">
        <v>45000</v>
      </c>
      <c r="B47">
        <v>390</v>
      </c>
      <c r="C47">
        <v>-69.7</v>
      </c>
      <c r="D47">
        <v>-56.5</v>
      </c>
      <c r="E47">
        <v>0.75190000000000001</v>
      </c>
      <c r="F47">
        <v>0.14549999999999999</v>
      </c>
      <c r="G47">
        <v>307.91000000000003</v>
      </c>
      <c r="H47">
        <v>4.5995999999999998E-4</v>
      </c>
      <c r="I47">
        <v>0.19350000000000001</v>
      </c>
      <c r="J47">
        <v>0.43990000000000001</v>
      </c>
      <c r="K47">
        <v>215.5</v>
      </c>
      <c r="L47">
        <v>1.4800000000000001E-2</v>
      </c>
      <c r="M47">
        <v>968.1</v>
      </c>
      <c r="N47">
        <v>573.55999999999995</v>
      </c>
      <c r="O47">
        <v>6.4554E-4</v>
      </c>
    </row>
    <row r="48" spans="1:15" x14ac:dyDescent="0.25">
      <c r="A48">
        <v>46000</v>
      </c>
      <c r="B48">
        <v>390</v>
      </c>
      <c r="C48">
        <v>-69.7</v>
      </c>
      <c r="D48">
        <v>-56.5</v>
      </c>
      <c r="E48">
        <v>0.75190000000000001</v>
      </c>
      <c r="F48">
        <v>0.13869999999999999</v>
      </c>
      <c r="G48">
        <v>293.52</v>
      </c>
      <c r="H48">
        <v>4.3846E-4</v>
      </c>
      <c r="I48">
        <v>0.1845</v>
      </c>
      <c r="J48">
        <v>0.42949999999999999</v>
      </c>
      <c r="K48">
        <v>205.5</v>
      </c>
      <c r="L48">
        <v>1.41E-2</v>
      </c>
      <c r="M48">
        <v>968.1</v>
      </c>
      <c r="N48">
        <v>573.55999999999995</v>
      </c>
      <c r="O48">
        <v>6.7719999999999998E-4</v>
      </c>
    </row>
    <row r="49" spans="1:15" x14ac:dyDescent="0.25">
      <c r="A49">
        <v>47000</v>
      </c>
      <c r="B49">
        <v>390</v>
      </c>
      <c r="C49">
        <v>-69.7</v>
      </c>
      <c r="D49">
        <v>-56.5</v>
      </c>
      <c r="E49">
        <v>0.75190000000000001</v>
      </c>
      <c r="F49">
        <v>0.13220000000000001</v>
      </c>
      <c r="G49">
        <v>279.76</v>
      </c>
      <c r="H49">
        <v>4.1790000000000002E-4</v>
      </c>
      <c r="I49">
        <v>0.17580000000000001</v>
      </c>
      <c r="J49">
        <v>0.41930000000000001</v>
      </c>
      <c r="K49">
        <v>195.8</v>
      </c>
      <c r="L49">
        <v>1.34E-2</v>
      </c>
      <c r="M49">
        <v>968.1</v>
      </c>
      <c r="N49">
        <v>573.55999999999995</v>
      </c>
      <c r="O49">
        <v>7.1051000000000003E-4</v>
      </c>
    </row>
    <row r="50" spans="1:15" x14ac:dyDescent="0.25">
      <c r="A50">
        <v>48000</v>
      </c>
      <c r="B50">
        <v>390</v>
      </c>
      <c r="C50">
        <v>-69.7</v>
      </c>
      <c r="D50">
        <v>-56.5</v>
      </c>
      <c r="E50">
        <v>0.75190000000000001</v>
      </c>
      <c r="F50">
        <v>0.12590000000000001</v>
      </c>
      <c r="G50">
        <v>266.43</v>
      </c>
      <c r="H50">
        <v>3.9798999999999998E-4</v>
      </c>
      <c r="I50">
        <v>0.16739999999999999</v>
      </c>
      <c r="J50">
        <v>0.40910000000000002</v>
      </c>
      <c r="K50">
        <v>186.5</v>
      </c>
      <c r="L50">
        <v>1.2800000000000001E-2</v>
      </c>
      <c r="M50">
        <v>968.1</v>
      </c>
      <c r="N50">
        <v>573.55999999999995</v>
      </c>
      <c r="O50">
        <v>7.4606E-4</v>
      </c>
    </row>
    <row r="51" spans="1:15" x14ac:dyDescent="0.25">
      <c r="A51">
        <v>49000</v>
      </c>
      <c r="B51">
        <v>390</v>
      </c>
      <c r="C51">
        <v>-69.7</v>
      </c>
      <c r="D51">
        <v>-56.5</v>
      </c>
      <c r="E51">
        <v>0.75190000000000001</v>
      </c>
      <c r="F51">
        <v>0.12</v>
      </c>
      <c r="G51">
        <v>253.95</v>
      </c>
      <c r="H51">
        <v>3.7934999999999998E-4</v>
      </c>
      <c r="I51">
        <v>0.15959999999999999</v>
      </c>
      <c r="J51">
        <v>0.39950000000000002</v>
      </c>
      <c r="K51">
        <v>177.8</v>
      </c>
      <c r="L51">
        <v>1.2200000000000001E-2</v>
      </c>
      <c r="M51">
        <v>968.1</v>
      </c>
      <c r="N51">
        <v>573.55999999999995</v>
      </c>
      <c r="O51">
        <v>7.8271999999999999E-4</v>
      </c>
    </row>
    <row r="52" spans="1:15" x14ac:dyDescent="0.25">
      <c r="A52">
        <v>50000</v>
      </c>
      <c r="B52">
        <v>390</v>
      </c>
      <c r="C52">
        <v>-69.7</v>
      </c>
      <c r="D52">
        <v>-56.5</v>
      </c>
      <c r="E52">
        <v>0.75190000000000001</v>
      </c>
      <c r="F52">
        <v>0.1144</v>
      </c>
      <c r="G52">
        <v>242.1</v>
      </c>
      <c r="H52">
        <v>3.6164999999999998E-4</v>
      </c>
      <c r="I52">
        <v>0.15210000000000001</v>
      </c>
      <c r="J52">
        <v>0.39</v>
      </c>
      <c r="K52">
        <v>169.5</v>
      </c>
      <c r="L52">
        <v>1.1599999999999999E-2</v>
      </c>
      <c r="M52">
        <v>968.1</v>
      </c>
      <c r="N52">
        <v>573.55999999999995</v>
      </c>
      <c r="O52">
        <v>8.2103000000000005E-4</v>
      </c>
    </row>
    <row r="53" spans="1:15" x14ac:dyDescent="0.25">
      <c r="A53">
        <v>51000</v>
      </c>
      <c r="B53">
        <v>390</v>
      </c>
      <c r="C53">
        <v>-69.7</v>
      </c>
      <c r="D53">
        <v>-56.5</v>
      </c>
      <c r="E53">
        <v>0.75190000000000001</v>
      </c>
      <c r="F53">
        <v>0.109</v>
      </c>
      <c r="G53">
        <v>230.67</v>
      </c>
      <c r="H53">
        <v>3.4456999999999999E-4</v>
      </c>
      <c r="I53">
        <v>0.14499999999999999</v>
      </c>
      <c r="J53">
        <v>0.38080000000000003</v>
      </c>
      <c r="K53">
        <v>161.5</v>
      </c>
      <c r="L53">
        <v>1.11E-2</v>
      </c>
      <c r="M53">
        <v>968.1</v>
      </c>
      <c r="N53">
        <v>573.55999999999995</v>
      </c>
      <c r="O53">
        <v>8.6171999999999996E-4</v>
      </c>
    </row>
    <row r="54" spans="1:15" x14ac:dyDescent="0.25">
      <c r="A54">
        <v>52000</v>
      </c>
      <c r="B54">
        <v>390</v>
      </c>
      <c r="C54">
        <v>-69.7</v>
      </c>
      <c r="D54">
        <v>-56.5</v>
      </c>
      <c r="E54">
        <v>0.75190000000000001</v>
      </c>
      <c r="F54">
        <v>0.10390000000000001</v>
      </c>
      <c r="G54">
        <v>219.88</v>
      </c>
      <c r="H54">
        <v>3.2845999999999998E-4</v>
      </c>
      <c r="I54">
        <v>0.13819999999999999</v>
      </c>
      <c r="J54">
        <v>0.37180000000000002</v>
      </c>
      <c r="K54">
        <v>153.9</v>
      </c>
      <c r="L54">
        <v>1.06E-2</v>
      </c>
      <c r="M54">
        <v>968.1</v>
      </c>
      <c r="N54">
        <v>573.55999999999995</v>
      </c>
      <c r="O54">
        <v>9.0399000000000002E-4</v>
      </c>
    </row>
    <row r="55" spans="1:15" x14ac:dyDescent="0.25">
      <c r="A55">
        <v>53000</v>
      </c>
      <c r="B55">
        <v>390</v>
      </c>
      <c r="C55">
        <v>-69.7</v>
      </c>
      <c r="D55">
        <v>-56.5</v>
      </c>
      <c r="E55">
        <v>0.75190000000000001</v>
      </c>
      <c r="F55">
        <v>9.9000000000000005E-2</v>
      </c>
      <c r="G55">
        <v>209.51</v>
      </c>
      <c r="H55">
        <v>3.1296999999999998E-4</v>
      </c>
      <c r="I55">
        <v>0.13170000000000001</v>
      </c>
      <c r="J55">
        <v>0.3629</v>
      </c>
      <c r="K55">
        <v>146.69999999999999</v>
      </c>
      <c r="L55">
        <v>1.01E-2</v>
      </c>
      <c r="M55">
        <v>968.1</v>
      </c>
      <c r="N55">
        <v>573.55999999999995</v>
      </c>
      <c r="O55">
        <v>9.4872999999999995E-4</v>
      </c>
    </row>
    <row r="56" spans="1:15" x14ac:dyDescent="0.25">
      <c r="A56">
        <v>54000</v>
      </c>
      <c r="B56">
        <v>390</v>
      </c>
      <c r="C56">
        <v>-69.7</v>
      </c>
      <c r="D56">
        <v>-56.5</v>
      </c>
      <c r="E56">
        <v>0.75190000000000001</v>
      </c>
      <c r="F56">
        <v>9.4399999999999998E-2</v>
      </c>
      <c r="G56">
        <v>199.77</v>
      </c>
      <c r="H56">
        <v>2.9841999999999998E-4</v>
      </c>
      <c r="I56">
        <v>0.1255</v>
      </c>
      <c r="J56">
        <v>0.3543</v>
      </c>
      <c r="K56">
        <v>139.80000000000001</v>
      </c>
      <c r="L56">
        <v>9.5999999999999992E-3</v>
      </c>
      <c r="M56">
        <v>968.1</v>
      </c>
      <c r="N56">
        <v>573.55999999999995</v>
      </c>
      <c r="O56">
        <v>9.9499000000000007E-4</v>
      </c>
    </row>
    <row r="57" spans="1:15" x14ac:dyDescent="0.25">
      <c r="A57">
        <v>55000</v>
      </c>
      <c r="B57">
        <v>390</v>
      </c>
      <c r="C57">
        <v>-69.7</v>
      </c>
      <c r="D57">
        <v>-56.5</v>
      </c>
      <c r="E57">
        <v>0.75190000000000001</v>
      </c>
      <c r="F57">
        <v>8.9899999999999994E-2</v>
      </c>
      <c r="G57">
        <v>190.25</v>
      </c>
      <c r="H57">
        <v>2.8418999999999997E-4</v>
      </c>
      <c r="I57">
        <v>0.1196</v>
      </c>
      <c r="J57">
        <v>0.3458</v>
      </c>
      <c r="K57">
        <v>133.19999999999999</v>
      </c>
      <c r="L57">
        <v>9.1000000000000004E-3</v>
      </c>
      <c r="M57">
        <v>968.1</v>
      </c>
      <c r="N57">
        <v>573.55999999999995</v>
      </c>
      <c r="O57">
        <v>1.04481E-3</v>
      </c>
    </row>
    <row r="58" spans="1:15" x14ac:dyDescent="0.25">
      <c r="A58">
        <v>56000</v>
      </c>
      <c r="B58">
        <v>390</v>
      </c>
      <c r="C58">
        <v>-69.7</v>
      </c>
      <c r="D58">
        <v>-56.5</v>
      </c>
      <c r="E58">
        <v>0.75190000000000001</v>
      </c>
      <c r="F58">
        <v>8.5699999999999998E-2</v>
      </c>
      <c r="G58">
        <v>181.36</v>
      </c>
      <c r="H58">
        <v>2.7092000000000001E-4</v>
      </c>
      <c r="I58">
        <v>0.114</v>
      </c>
      <c r="J58">
        <v>0.33760000000000001</v>
      </c>
      <c r="K58">
        <v>127</v>
      </c>
      <c r="L58">
        <v>8.6999999999999994E-3</v>
      </c>
      <c r="M58">
        <v>968.1</v>
      </c>
      <c r="N58">
        <v>573.55999999999995</v>
      </c>
      <c r="O58">
        <v>1.0959800000000001E-3</v>
      </c>
    </row>
    <row r="59" spans="1:15" x14ac:dyDescent="0.25">
      <c r="A59">
        <v>57000</v>
      </c>
      <c r="B59">
        <v>390</v>
      </c>
      <c r="C59">
        <v>-69.7</v>
      </c>
      <c r="D59">
        <v>-56.5</v>
      </c>
      <c r="E59">
        <v>0.75190000000000001</v>
      </c>
      <c r="F59">
        <v>8.1699999999999995E-2</v>
      </c>
      <c r="G59">
        <v>172.9</v>
      </c>
      <c r="H59">
        <v>2.5828E-4</v>
      </c>
      <c r="I59">
        <v>0.1087</v>
      </c>
      <c r="J59">
        <v>0.32969999999999999</v>
      </c>
      <c r="K59">
        <v>121</v>
      </c>
      <c r="L59">
        <v>8.3000000000000001E-3</v>
      </c>
      <c r="M59">
        <v>968.1</v>
      </c>
      <c r="N59">
        <v>573.55999999999995</v>
      </c>
      <c r="O59">
        <v>1.1496200000000001E-3</v>
      </c>
    </row>
    <row r="60" spans="1:15" x14ac:dyDescent="0.25">
      <c r="A60">
        <v>58000</v>
      </c>
      <c r="B60">
        <v>390</v>
      </c>
      <c r="C60">
        <v>-69.7</v>
      </c>
      <c r="D60">
        <v>-56.5</v>
      </c>
      <c r="E60">
        <v>0.75190000000000001</v>
      </c>
      <c r="F60">
        <v>7.7899999999999997E-2</v>
      </c>
      <c r="G60">
        <v>164.85</v>
      </c>
      <c r="H60">
        <v>2.4625E-4</v>
      </c>
      <c r="I60">
        <v>0.1036</v>
      </c>
      <c r="J60">
        <v>0.32190000000000002</v>
      </c>
      <c r="K60">
        <v>115.4</v>
      </c>
      <c r="L60">
        <v>7.9000000000000008E-3</v>
      </c>
      <c r="M60">
        <v>968.1</v>
      </c>
      <c r="N60">
        <v>573.55999999999995</v>
      </c>
      <c r="O60">
        <v>1.20578E-3</v>
      </c>
    </row>
    <row r="61" spans="1:15" x14ac:dyDescent="0.25">
      <c r="A61">
        <v>59000</v>
      </c>
      <c r="B61">
        <v>390</v>
      </c>
      <c r="C61">
        <v>-69.7</v>
      </c>
      <c r="D61">
        <v>-56.5</v>
      </c>
      <c r="E61">
        <v>0.75190000000000001</v>
      </c>
      <c r="F61">
        <v>7.4200000000000002E-2</v>
      </c>
      <c r="G61">
        <v>157.02000000000001</v>
      </c>
      <c r="H61">
        <v>2.3456E-4</v>
      </c>
      <c r="I61">
        <v>9.8699999999999996E-2</v>
      </c>
      <c r="J61">
        <v>0.31419999999999998</v>
      </c>
      <c r="K61">
        <v>109.9</v>
      </c>
      <c r="L61">
        <v>7.4999999999999997E-3</v>
      </c>
      <c r="M61">
        <v>968.1</v>
      </c>
      <c r="N61">
        <v>573.55999999999995</v>
      </c>
      <c r="O61">
        <v>1.26588E-3</v>
      </c>
    </row>
    <row r="62" spans="1:15" x14ac:dyDescent="0.25">
      <c r="A62">
        <v>60000</v>
      </c>
      <c r="B62">
        <v>390</v>
      </c>
      <c r="C62">
        <v>-69.7</v>
      </c>
      <c r="D62">
        <v>-56.5</v>
      </c>
      <c r="E62">
        <v>0.75190000000000001</v>
      </c>
      <c r="F62">
        <v>7.0699999999999999E-2</v>
      </c>
      <c r="G62">
        <v>149.62</v>
      </c>
      <c r="H62">
        <v>2.2350000000000001E-4</v>
      </c>
      <c r="I62">
        <v>9.4E-2</v>
      </c>
      <c r="J62">
        <v>0.30659999999999998</v>
      </c>
      <c r="K62">
        <v>104.7</v>
      </c>
      <c r="L62">
        <v>7.1999999999999998E-3</v>
      </c>
      <c r="M62">
        <v>968.1</v>
      </c>
      <c r="N62">
        <v>573.55999999999995</v>
      </c>
      <c r="O62">
        <v>1.3285199999999999E-3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2CA21-532A-42C1-AF1D-FB25941E0F9A}">
  <dimension ref="A2:G13"/>
  <sheetViews>
    <sheetView workbookViewId="0">
      <selection activeCell="B3" sqref="B3"/>
    </sheetView>
  </sheetViews>
  <sheetFormatPr defaultRowHeight="15" x14ac:dyDescent="0.25"/>
  <cols>
    <col min="1" max="1" width="20.5703125" bestFit="1" customWidth="1"/>
    <col min="3" max="3" width="6.140625" bestFit="1" customWidth="1"/>
    <col min="4" max="4" width="3.28515625" customWidth="1"/>
    <col min="5" max="5" width="21.140625" bestFit="1" customWidth="1"/>
  </cols>
  <sheetData>
    <row r="2" spans="1:7" x14ac:dyDescent="0.25">
      <c r="A2" t="s">
        <v>15</v>
      </c>
      <c r="B2">
        <v>17</v>
      </c>
      <c r="C2" t="s">
        <v>16</v>
      </c>
      <c r="E2" t="s">
        <v>27</v>
      </c>
      <c r="F2">
        <v>55</v>
      </c>
      <c r="G2" t="s">
        <v>28</v>
      </c>
    </row>
    <row r="3" spans="1:7" x14ac:dyDescent="0.25">
      <c r="A3" t="s">
        <v>17</v>
      </c>
      <c r="B3">
        <v>37.799999999999997</v>
      </c>
      <c r="C3" t="s">
        <v>18</v>
      </c>
      <c r="F3">
        <v>370</v>
      </c>
      <c r="G3" t="s">
        <v>29</v>
      </c>
    </row>
    <row r="4" spans="1:7" x14ac:dyDescent="0.25">
      <c r="A4" t="s">
        <v>19</v>
      </c>
      <c r="B4">
        <v>6</v>
      </c>
      <c r="C4" t="s">
        <v>20</v>
      </c>
      <c r="E4" t="s">
        <v>30</v>
      </c>
      <c r="F4">
        <v>960</v>
      </c>
      <c r="G4" t="s">
        <v>29</v>
      </c>
    </row>
    <row r="5" spans="1:7" x14ac:dyDescent="0.25">
      <c r="A5" t="s">
        <v>21</v>
      </c>
      <c r="B5">
        <v>-1.5</v>
      </c>
      <c r="C5" t="s">
        <v>20</v>
      </c>
      <c r="E5" t="s">
        <v>31</v>
      </c>
      <c r="F5">
        <v>900</v>
      </c>
      <c r="G5" t="s">
        <v>29</v>
      </c>
    </row>
    <row r="6" spans="1:7" x14ac:dyDescent="0.25">
      <c r="A6" t="s">
        <v>22</v>
      </c>
      <c r="B6">
        <v>300</v>
      </c>
      <c r="C6" t="s">
        <v>23</v>
      </c>
      <c r="E6" t="s">
        <v>32</v>
      </c>
      <c r="F6">
        <v>1.35</v>
      </c>
    </row>
    <row r="7" spans="1:7" x14ac:dyDescent="0.25">
      <c r="B7">
        <v>260</v>
      </c>
      <c r="C7" t="s">
        <v>24</v>
      </c>
      <c r="E7" t="s">
        <v>33</v>
      </c>
      <c r="F7">
        <v>1.6</v>
      </c>
    </row>
    <row r="8" spans="1:7" x14ac:dyDescent="0.25">
      <c r="A8" t="s">
        <v>26</v>
      </c>
      <c r="B8">
        <v>0.55000000000000004</v>
      </c>
      <c r="E8" t="s">
        <v>34</v>
      </c>
      <c r="F8">
        <v>2</v>
      </c>
    </row>
    <row r="9" spans="1:7" x14ac:dyDescent="0.25">
      <c r="A9" t="s">
        <v>25</v>
      </c>
      <c r="B9">
        <v>26000</v>
      </c>
      <c r="C9" t="s">
        <v>16</v>
      </c>
    </row>
    <row r="11" spans="1:7" x14ac:dyDescent="0.25">
      <c r="A11" t="s">
        <v>36</v>
      </c>
      <c r="B11">
        <v>202</v>
      </c>
      <c r="C11" t="s">
        <v>29</v>
      </c>
      <c r="E11" t="s">
        <v>37</v>
      </c>
      <c r="F11">
        <v>1.3</v>
      </c>
      <c r="G11" t="s">
        <v>38</v>
      </c>
    </row>
    <row r="13" spans="1:7" x14ac:dyDescent="0.25">
      <c r="A13" t="s">
        <v>20</v>
      </c>
      <c r="B13">
        <v>32.173999999999999</v>
      </c>
      <c r="C13" t="s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76AA9-ECE0-4716-A730-DD6B30EED90E}">
  <dimension ref="A2:H24"/>
  <sheetViews>
    <sheetView tabSelected="1" workbookViewId="0">
      <selection activeCell="E6" sqref="E6"/>
    </sheetView>
  </sheetViews>
  <sheetFormatPr defaultRowHeight="15" x14ac:dyDescent="0.25"/>
  <cols>
    <col min="1" max="1" width="38.7109375" customWidth="1"/>
    <col min="2" max="3" width="8.7109375" customWidth="1"/>
    <col min="4" max="5" width="12.7109375" customWidth="1"/>
  </cols>
  <sheetData>
    <row r="2" spans="1:8" x14ac:dyDescent="0.25">
      <c r="A2" s="7" t="s">
        <v>68</v>
      </c>
      <c r="B2" s="7"/>
    </row>
    <row r="3" spans="1:8" x14ac:dyDescent="0.25">
      <c r="A3" s="7" t="s">
        <v>67</v>
      </c>
      <c r="B3" s="7"/>
    </row>
    <row r="4" spans="1:8" ht="15.75" thickBot="1" x14ac:dyDescent="0.3">
      <c r="G4" t="s">
        <v>69</v>
      </c>
    </row>
    <row r="5" spans="1:8" ht="16.5" thickBot="1" x14ac:dyDescent="0.3">
      <c r="A5" s="5" t="s">
        <v>66</v>
      </c>
      <c r="B5" s="4" t="s">
        <v>45</v>
      </c>
      <c r="C5" s="4" t="s">
        <v>44</v>
      </c>
      <c r="D5" s="4" t="s">
        <v>60</v>
      </c>
      <c r="E5" s="4" t="s">
        <v>59</v>
      </c>
      <c r="G5" cm="1">
        <f t="array" ref="G5">1+SQRT(1+(3/((((tsl*linterp(0,atmos_h,atmos_dr))/perfweight)^2)*(SQRT(1/(4*0.02*0.062)))^2)))</f>
        <v>2.1381488503738399</v>
      </c>
      <c r="H5" cm="1">
        <f t="array" ref="H5">1+SQRT(1+(3/((((tsl*linterp(20000,atmos_h,atmos_dr))/perfweight)^2)*(SQRT(1/(4*0.02*0.062)))^2)))</f>
        <v>2.4283363485126266</v>
      </c>
    </row>
    <row r="6" spans="1:8" ht="16.5" thickBot="1" x14ac:dyDescent="0.3">
      <c r="A6" s="2" t="s">
        <v>65</v>
      </c>
      <c r="B6" s="1" t="s">
        <v>57</v>
      </c>
      <c r="C6" s="1" t="s">
        <v>50</v>
      </c>
      <c r="D6" s="10" cm="1">
        <f t="array" ref="D6">SQRT((perfweight/wingarea)*(G5/(3*linterp(0,atmos_h,atmos_rho)*0.02)))*(((tsl*linterp(0,atmos_h,atmos_dr))/perfweight)^(3/2))*(1-(G5/6)-(3/(2*G5*(((tsl*linterp(0,atmos_h,atmos_dr))/perfweight)^2)*(SQRT(1/(4*0.02*0.062)))^2)))*60</f>
        <v>2190.1520695105819</v>
      </c>
      <c r="E6" s="10" cm="1">
        <f t="array" ref="E6">SQRT((perfweight/wingarea)*(H5/(3*linterp(20000,atmos_h,atmos_rho)*0.02)))*(((tsl*linterp(20000,atmos_h,atmos_dr))/perfweight)^(3/2))*(1-(H5/6)-(3/(2*H5*(((tsl*linterp(20000,atmos_h,atmos_dr))/perfweight)^2)*(SQRT(1/(4*0.02*0.062)))^2)))*60</f>
        <v>825.06359105509421</v>
      </c>
    </row>
    <row r="7" spans="1:8" ht="16.5" thickBot="1" x14ac:dyDescent="0.3">
      <c r="A7" s="2" t="s">
        <v>64</v>
      </c>
      <c r="B7" s="1" t="s">
        <v>51</v>
      </c>
      <c r="C7" s="1" t="s">
        <v>50</v>
      </c>
      <c r="D7" s="10" cm="1">
        <f t="array" ref="D7">SQRT(((tsl*linterp(0,atmos_h,atmos_dr))/perfweight)*(perfweight/wingarea)*(G5/(4*linterp(0,atmos_h,atmos_rho)*0.02)))</f>
        <v>245.13413183053282</v>
      </c>
      <c r="E7" s="10" cm="1">
        <f t="array" ref="E7">SQRT(((tsl*linterp(20000,atmos_h,atmos_dr))/perfweight)*(perfweight/wingarea)*(H5/(4*linterp(20000,atmos_h,atmos_rho)*0.02)))</f>
        <v>261.25397307967313</v>
      </c>
    </row>
    <row r="8" spans="1:8" ht="16.5" thickBot="1" x14ac:dyDescent="0.3">
      <c r="A8" s="2" t="s">
        <v>49</v>
      </c>
      <c r="B8" s="6" t="s">
        <v>48</v>
      </c>
      <c r="C8" s="1" t="s">
        <v>47</v>
      </c>
      <c r="D8" s="8" cm="1">
        <f t="array" ref="D8">D7/linterp(0,atmos_h,atmos_aspeed)</f>
        <v>0.21956373880885371</v>
      </c>
      <c r="E8" s="8" cm="1">
        <f t="array" ref="E8">E7/linterp(20000,atmos_h,atmos_aspeed)</f>
        <v>0.25195919825600893</v>
      </c>
    </row>
    <row r="9" spans="1:8" ht="16.5" thickBot="1" x14ac:dyDescent="0.3">
      <c r="A9" s="2" t="s">
        <v>63</v>
      </c>
      <c r="B9" s="1" t="s">
        <v>54</v>
      </c>
      <c r="C9" s="1" t="s">
        <v>53</v>
      </c>
      <c r="D9" s="9" cm="1">
        <f t="array" ref="D9">DEGREES(ASIN(((tsl*linterp(0,atmos_h,atmos_dr))/perfweight)-(SQRT(4*0.02*0.062))))</f>
        <v>8.859800200250513</v>
      </c>
      <c r="E9" s="9" cm="1">
        <f t="array" ref="E9">DEGREES(ASIN(((tsl*linterp(20000,atmos_h,atmos_dr))/perfweight)-(SQRT(4*0.02*0.062))))</f>
        <v>2.8188963546393131</v>
      </c>
    </row>
    <row r="10" spans="1:8" ht="16.5" thickBot="1" x14ac:dyDescent="0.3">
      <c r="A10" s="2" t="s">
        <v>62</v>
      </c>
      <c r="B10" s="1" t="s">
        <v>51</v>
      </c>
      <c r="C10" s="1" t="s">
        <v>50</v>
      </c>
      <c r="D10" s="10" cm="1">
        <f t="array" ref="D10">SQRT((2/linterp(0,atmos_h,atmos_rho))*SQRT(0.062/0.02)*(perfweight/wingarea)*COS(RADIANS(D9)))</f>
        <v>186.69137607772805</v>
      </c>
      <c r="E10" s="10" cm="1">
        <f t="array" ref="E10">SQRT((2/linterp(20000,atmos_h,atmos_rho))*SQRT(0.062/0.02)*(perfweight/wingarea)*COS(RADIANS(E9)))</f>
        <v>257.13944064490806</v>
      </c>
    </row>
    <row r="11" spans="1:8" ht="16.5" thickBot="1" x14ac:dyDescent="0.3">
      <c r="A11" s="2" t="s">
        <v>49</v>
      </c>
      <c r="B11" s="6" t="s">
        <v>48</v>
      </c>
      <c r="C11" s="1" t="s">
        <v>47</v>
      </c>
      <c r="D11" s="8" cm="1">
        <f t="array" ref="D11">D10/linterp(0,atmos_h,atmos_aspeed)</f>
        <v>0.16721725460628062</v>
      </c>
      <c r="E11" s="8" cm="1">
        <f t="array" ref="E11">E10/linterp(20000,atmos_h,atmos_aspeed)</f>
        <v>0.24799105078157571</v>
      </c>
    </row>
    <row r="12" spans="1:8" ht="16.5" thickBot="1" x14ac:dyDescent="0.3">
      <c r="A12" s="5" t="s">
        <v>61</v>
      </c>
      <c r="B12" s="4" t="s">
        <v>45</v>
      </c>
      <c r="C12" s="4" t="s">
        <v>44</v>
      </c>
      <c r="D12" s="4" t="s">
        <v>60</v>
      </c>
      <c r="E12" s="4" t="s">
        <v>59</v>
      </c>
      <c r="G12" t="s">
        <v>73</v>
      </c>
    </row>
    <row r="13" spans="1:8" ht="16.5" thickBot="1" x14ac:dyDescent="0.3">
      <c r="A13" s="2" t="s">
        <v>58</v>
      </c>
      <c r="B13" s="1" t="s">
        <v>57</v>
      </c>
      <c r="C13" s="1" t="s">
        <v>50</v>
      </c>
      <c r="D13" s="10" cm="1">
        <f t="array" ref="D13">SQRT((2/(linterp(0,atmos_h,atmos_rho)*(((G13^(3/2))/(0.02+(0.062*(G13)^2)))^2)))*(perfweight/wingarea))*60</f>
        <v>696.32493217494732</v>
      </c>
      <c r="E13" s="10" cm="1">
        <f t="array" ref="E13">SQRT((2/(linterp(20000,atmos_h,atmos_rho)*(((H13^(3/2))/(0.02+(0.062*(H13)^2)))^2)))*(perfweight/wingarea))*60</f>
        <v>953.92175070247447</v>
      </c>
      <c r="G13" cm="1">
        <f t="array" ref="G13">(1*perfweight)/(0.5*linterp(0,atmos_h,atmos_rho)*((D15*linterp(0,atmos_h,atmos_aspeed))^2)*wingarea)</f>
        <v>0.98373875367592944</v>
      </c>
      <c r="H13" cm="1">
        <f t="array" ref="H13">(1*perfweight)/(0.5*linterp(20000,atmos_h,atmos_rho)*((E15*linterp(20000,atmos_h,atmos_aspeed))^2)*wingarea)</f>
        <v>0.98373875367592944</v>
      </c>
    </row>
    <row r="14" spans="1:8" ht="16.5" thickBot="1" x14ac:dyDescent="0.3">
      <c r="A14" s="2" t="s">
        <v>56</v>
      </c>
      <c r="B14" s="1" t="s">
        <v>51</v>
      </c>
      <c r="C14" s="1" t="s">
        <v>50</v>
      </c>
      <c r="D14" s="10" cm="1">
        <f t="array" ref="D14">SQRT((2/linterp(0,atmos_h,atmos_rho))*SQRT(0.062/(3*0.02))*(perfweight/wingarea))</f>
        <v>142.70871269401226</v>
      </c>
      <c r="E14" s="10" cm="1">
        <f t="array" ref="E14">SQRT((2/linterp(20000,atmos_h,atmos_rho))*SQRT(0.062/(3*0.02))*(perfweight/wingarea))</f>
        <v>195.50204044591936</v>
      </c>
    </row>
    <row r="15" spans="1:8" ht="16.5" thickBot="1" x14ac:dyDescent="0.3">
      <c r="A15" s="2" t="s">
        <v>49</v>
      </c>
      <c r="B15" s="6" t="s">
        <v>48</v>
      </c>
      <c r="C15" s="1" t="s">
        <v>47</v>
      </c>
      <c r="D15" s="8" cm="1">
        <f t="array" ref="D15">D14/linterp(0,atmos_h,atmos_aspeed)</f>
        <v>0.12782250389088035</v>
      </c>
      <c r="E15" s="8" cm="1">
        <f t="array" ref="E15">E14/linterp(20000,atmos_h,atmos_aspeed)</f>
        <v>0.18854655792409933</v>
      </c>
    </row>
    <row r="16" spans="1:8" ht="16.5" thickBot="1" x14ac:dyDescent="0.3">
      <c r="A16" s="2" t="s">
        <v>55</v>
      </c>
      <c r="B16" s="1" t="s">
        <v>54</v>
      </c>
      <c r="C16" s="1" t="s">
        <v>53</v>
      </c>
      <c r="D16" s="9">
        <f>DEGREES(ATAN(1/(SQRT(1/(4*0.02*0.062)))))</f>
        <v>4.0285334654862854</v>
      </c>
      <c r="E16" s="9">
        <f>DEGREES(ATAN(1/(SQRT(1/(4*0.02*0.062)))))</f>
        <v>4.0285334654862854</v>
      </c>
    </row>
    <row r="17" spans="1:5" ht="16.5" thickBot="1" x14ac:dyDescent="0.3">
      <c r="A17" s="2" t="s">
        <v>52</v>
      </c>
      <c r="B17" s="1" t="s">
        <v>51</v>
      </c>
      <c r="C17" s="1" t="s">
        <v>50</v>
      </c>
      <c r="D17" s="10" cm="1">
        <f t="array" ref="D17">SQRT((2/linterp(0,atmos_h,atmos_rho))*SQRT(0.062/0.02)*(perfweight/wingarea)*COS(RADIANS(D16)))</f>
        <v>187.58305660234436</v>
      </c>
      <c r="E17" s="10" cm="1">
        <f t="array" ref="E17">SQRT((2/linterp(20000,atmos_h,atmos_rho))*SQRT(0.062/0.02)*(perfweight/wingarea)*COS(RADIANS(E16)))</f>
        <v>256.97709429607522</v>
      </c>
    </row>
    <row r="18" spans="1:5" ht="16.5" thickBot="1" x14ac:dyDescent="0.3">
      <c r="A18" s="2" t="s">
        <v>49</v>
      </c>
      <c r="B18" s="6" t="s">
        <v>48</v>
      </c>
      <c r="C18" s="1" t="s">
        <v>47</v>
      </c>
      <c r="D18" s="8" cm="1">
        <f t="array" ref="D18">D17/linterp(0,atmos_h,atmos_aspeed)</f>
        <v>0.16801592229219528</v>
      </c>
      <c r="E18" s="8" cm="1">
        <f t="array" ref="E18">E17/linterp(20000,atmos_h,atmos_aspeed)</f>
        <v>0.24783448031717462</v>
      </c>
    </row>
    <row r="20" spans="1:5" ht="15.75" thickBot="1" x14ac:dyDescent="0.3"/>
    <row r="21" spans="1:5" ht="16.5" thickBot="1" x14ac:dyDescent="0.3">
      <c r="A21" s="5" t="s">
        <v>46</v>
      </c>
      <c r="B21" s="4" t="s">
        <v>45</v>
      </c>
      <c r="C21" s="4" t="s">
        <v>44</v>
      </c>
      <c r="D21" s="3" t="s">
        <v>43</v>
      </c>
    </row>
    <row r="22" spans="1:5" ht="16.5" thickBot="1" x14ac:dyDescent="0.3">
      <c r="A22" s="2" t="s">
        <v>42</v>
      </c>
      <c r="B22" s="1" t="s">
        <v>16</v>
      </c>
      <c r="C22" s="1" t="s">
        <v>39</v>
      </c>
      <c r="D22" s="11">
        <f>(0-D6)/((E6-D6)/(20000-0))</f>
        <v>32088.060284394192</v>
      </c>
    </row>
    <row r="23" spans="1:5" ht="16.5" thickBot="1" x14ac:dyDescent="0.3">
      <c r="A23" s="2" t="s">
        <v>41</v>
      </c>
      <c r="B23" s="1" t="s">
        <v>16</v>
      </c>
      <c r="C23" s="1" t="s">
        <v>39</v>
      </c>
      <c r="D23" s="11">
        <f>(100-D6)/((E6-D6)/(20000-0))</f>
        <v>30622.953786489474</v>
      </c>
    </row>
    <row r="24" spans="1:5" ht="16.5" thickBot="1" x14ac:dyDescent="0.3">
      <c r="A24" s="2" t="s">
        <v>40</v>
      </c>
      <c r="B24" s="1" t="s">
        <v>16</v>
      </c>
      <c r="C24" s="1" t="s">
        <v>39</v>
      </c>
      <c r="D24" s="11">
        <f>(300-D6)/((E6-D6)/(20000-0))</f>
        <v>27692.74079068004</v>
      </c>
    </row>
  </sheetData>
  <mergeCells count="2">
    <mergeCell ref="A2:B2"/>
    <mergeCell ref="A3:B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E4EF3-952C-43D0-BDA1-9D171C56FFD8}">
  <dimension ref="A1:F56"/>
  <sheetViews>
    <sheetView workbookViewId="0">
      <selection activeCell="B2" sqref="B2"/>
    </sheetView>
  </sheetViews>
  <sheetFormatPr defaultRowHeight="15" x14ac:dyDescent="0.25"/>
  <cols>
    <col min="1" max="1" width="13.5703125" bestFit="1" customWidth="1"/>
    <col min="2" max="4" width="13.5703125" customWidth="1"/>
    <col min="5" max="5" width="12.85546875" bestFit="1" customWidth="1"/>
    <col min="6" max="6" width="15" bestFit="1" customWidth="1"/>
  </cols>
  <sheetData>
    <row r="1" spans="1:6" x14ac:dyDescent="0.25">
      <c r="A1" t="s">
        <v>70</v>
      </c>
      <c r="B1" t="s">
        <v>73</v>
      </c>
      <c r="C1" t="s">
        <v>74</v>
      </c>
      <c r="D1" t="s">
        <v>75</v>
      </c>
      <c r="E1" t="s">
        <v>71</v>
      </c>
      <c r="F1" t="s">
        <v>72</v>
      </c>
    </row>
    <row r="2" spans="1:6" x14ac:dyDescent="0.25">
      <c r="A2">
        <v>0.01</v>
      </c>
      <c r="B2" cm="1">
        <f t="array" ref="B2">(1*perfweight)/(0.5*linterp(0,atmos_h,atmos_rho)*((A2*linterp(0,atmos_h,atmos_aspeed))^2)*wingarea)</f>
        <v>160.72906623687817</v>
      </c>
      <c r="C2">
        <f>0.02+(0.062*(B2^2))</f>
        <v>1601.7176294694839</v>
      </c>
      <c r="D2" cm="1">
        <f t="array" ref="D2">C2*linterp(0,atmos_h,atmos_qms)*(A2^2)*wingarea</f>
        <v>8969.1253959992337</v>
      </c>
      <c r="E2" cm="1">
        <f t="array" ref="E2">(((tsl*linterp(0,atmos_h,atmos_dr))-D2)*(A2*linterp(0,atmos_h,atmos_aspeed))*60)/perfweight</f>
        <v>-6525.42987974487</v>
      </c>
      <c r="F2" cm="1">
        <f t="array" ref="F2">((D2)*(A2*linterp(0,atmos_h,atmos_aspeed))*60)/perfweight</f>
        <v>6675.7798264115354</v>
      </c>
    </row>
    <row r="3" spans="1:6" x14ac:dyDescent="0.25">
      <c r="A3">
        <v>0.02</v>
      </c>
      <c r="B3" cm="1">
        <f t="array" ref="B3">(1*perfweight)/(0.5*linterp(0,atmos_h,atmos_rho)*((A3*linterp(0,atmos_h,atmos_aspeed))^2)*wingarea)</f>
        <v>40.182266559219542</v>
      </c>
      <c r="C3">
        <f t="shared" ref="C3:C56" si="0">0.02+(0.062*(B3^2))</f>
        <v>100.12610184184274</v>
      </c>
      <c r="D3" cm="1">
        <f t="array" ref="D3">C3*linterp(0,atmos_h,atmos_qms)*(A3^2)*wingarea</f>
        <v>2242.7013258998086</v>
      </c>
      <c r="E3" cm="1">
        <f t="array" ref="E3">(((tsl*linterp(0,atmos_h,atmos_dr))-D3)*(A3*linterp(0,atmos_h,atmos_aspeed))*60)/perfweight</f>
        <v>-3037.8152030854671</v>
      </c>
      <c r="F3" cm="1">
        <f t="array" ref="F3">((D3)*(A3*linterp(0,atmos_h,atmos_aspeed))*60)/perfweight</f>
        <v>3338.5150964188006</v>
      </c>
    </row>
    <row r="4" spans="1:6" x14ac:dyDescent="0.25">
      <c r="A4">
        <v>0.03</v>
      </c>
      <c r="B4" cm="1">
        <f t="array" ref="B4">(1*perfweight)/(0.5*linterp(0,atmos_h,atmos_rho)*((A4*linterp(0,atmos_h,atmos_aspeed))^2)*wingarea)</f>
        <v>17.858785137430907</v>
      </c>
      <c r="C4">
        <f t="shared" si="0"/>
        <v>19.79404480826523</v>
      </c>
      <c r="D4" cm="1">
        <f t="array" ref="D4">C4*linterp(0,atmos_h,atmos_qms)*(A4^2)*wingarea</f>
        <v>997.56498924435903</v>
      </c>
      <c r="E4" cm="1">
        <f t="array" ref="E4">(((tsl*linterp(0,atmos_h,atmos_dr))-D4)*(A4*linterp(0,atmos_h,atmos_aspeed))*60)/perfweight</f>
        <v>-1776.4329757835142</v>
      </c>
      <c r="F4" cm="1">
        <f t="array" ref="F4">((D4)*(A4*linterp(0,atmos_h,atmos_aspeed))*60)/perfweight</f>
        <v>2227.4828157835141</v>
      </c>
    </row>
    <row r="5" spans="1:6" x14ac:dyDescent="0.25">
      <c r="A5">
        <v>0.04</v>
      </c>
      <c r="B5" cm="1">
        <f t="array" ref="B5">(1*perfweight)/(0.5*linterp(0,atmos_h,atmos_rho)*((A5*linterp(0,atmos_h,atmos_aspeed))^2)*wingarea)</f>
        <v>10.045566639804886</v>
      </c>
      <c r="C5">
        <f t="shared" si="0"/>
        <v>6.2766313651151711</v>
      </c>
      <c r="D5" cm="1">
        <f t="array" ref="D5">C5*linterp(0,atmos_h,atmos_qms)*(A5^2)*wingarea</f>
        <v>562.35523907495212</v>
      </c>
      <c r="E5" cm="1">
        <f t="array" ref="E5">(((tsl*linterp(0,atmos_h,atmos_dr))-D5)*(A5*linterp(0,atmos_h,atmos_aspeed))*60)/perfweight</f>
        <v>-1072.8592272469896</v>
      </c>
      <c r="F5" cm="1">
        <f t="array" ref="F5">((D5)*(A5*linterp(0,atmos_h,atmos_aspeed))*60)/perfweight</f>
        <v>1674.2590139136562</v>
      </c>
    </row>
    <row r="6" spans="1:6" x14ac:dyDescent="0.25">
      <c r="A6">
        <v>0.05</v>
      </c>
      <c r="B6" cm="1">
        <f t="array" ref="B6">(1*perfweight)/(0.5*linterp(0,atmos_h,atmos_rho)*((A6*linterp(0,atmos_h,atmos_aspeed))^2)*wingarea)</f>
        <v>6.4291626494751259</v>
      </c>
      <c r="C6">
        <f t="shared" si="0"/>
        <v>2.5827162071511731</v>
      </c>
      <c r="D6" cm="1">
        <f t="array" ref="D6">C6*linterp(0,atmos_h,atmos_qms)*(A6^2)*wingarea</f>
        <v>361.56038208636926</v>
      </c>
      <c r="E6" cm="1">
        <f t="array" ref="E6">(((tsl*linterp(0,atmos_h,atmos_dr))-D6)*(A6*linterp(0,atmos_h,atmos_aspeed))*60)/perfweight</f>
        <v>-593.80928061382622</v>
      </c>
      <c r="F6" cm="1">
        <f t="array" ref="F6">((D6)*(A6*linterp(0,atmos_h,atmos_aspeed))*60)/perfweight</f>
        <v>1345.5590139471594</v>
      </c>
    </row>
    <row r="7" spans="1:6" x14ac:dyDescent="0.25">
      <c r="A7">
        <v>0.06</v>
      </c>
      <c r="B7" cm="1">
        <f t="array" ref="B7">(1*perfweight)/(0.5*linterp(0,atmos_h,atmos_rho)*((A7*linterp(0,atmos_h,atmos_aspeed))^2)*wingarea)</f>
        <v>4.4646962843577267</v>
      </c>
      <c r="C7">
        <f t="shared" si="0"/>
        <v>1.2558778005165769</v>
      </c>
      <c r="D7" cm="1">
        <f t="array" ref="D7">C7*linterp(0,atmos_h,atmos_qms)*(A7^2)*wingarea</f>
        <v>253.17103941108977</v>
      </c>
      <c r="E7" cm="1">
        <f t="array" ref="E7">(((tsl*linterp(0,atmos_h,atmos_dr))-D7)*(A7*linterp(0,atmos_h,atmos_aspeed))*60)/perfweight</f>
        <v>-228.52167464362114</v>
      </c>
      <c r="F7" cm="1">
        <f t="array" ref="F7">((D7)*(A7*linterp(0,atmos_h,atmos_aspeed))*60)/perfweight</f>
        <v>1130.6213546436213</v>
      </c>
    </row>
    <row r="8" spans="1:6" x14ac:dyDescent="0.25">
      <c r="A8">
        <v>7.0000000000000007E-2</v>
      </c>
      <c r="B8" cm="1">
        <f t="array" ref="B8">(1*perfweight)/(0.5*linterp(0,atmos_h,atmos_rho)*((A8*linterp(0,atmos_h,atmos_aspeed))^2)*wingarea)</f>
        <v>3.2801850252424112</v>
      </c>
      <c r="C8">
        <f t="shared" si="0"/>
        <v>0.68709605558912268</v>
      </c>
      <c r="D8" cm="1">
        <f t="array" ref="D8">C8*linterp(0,atmos_h,atmos_qms)*(A8^2)*wingarea</f>
        <v>188.52878799998433</v>
      </c>
      <c r="E8" cm="1">
        <f t="array" ref="E8">(((tsl*linterp(0,atmos_h,atmos_dr))-D8)*(A8*linterp(0,atmos_h,atmos_aspeed))*60)/perfweight</f>
        <v>70.186990297841646</v>
      </c>
      <c r="F8" cm="1">
        <f t="array" ref="F8">((D8)*(A8*linterp(0,atmos_h,atmos_aspeed))*60)/perfweight</f>
        <v>982.26263636882516</v>
      </c>
    </row>
    <row r="9" spans="1:6" x14ac:dyDescent="0.25">
      <c r="A9">
        <v>0.08</v>
      </c>
      <c r="B9" cm="1">
        <f t="array" ref="B9">(1*perfweight)/(0.5*linterp(0,atmos_h,atmos_rho)*((A9*linterp(0,atmos_h,atmos_aspeed))^2)*wingarea)</f>
        <v>2.5113916599512214</v>
      </c>
      <c r="C9">
        <f t="shared" si="0"/>
        <v>0.41103946031969824</v>
      </c>
      <c r="D9" cm="1">
        <f t="array" ref="D9">C9*linterp(0,atmos_h,atmos_qms)*(A9^2)*wingarea</f>
        <v>147.308440168738</v>
      </c>
      <c r="E9" cm="1">
        <f t="array" ref="E9">(((tsl*linterp(0,atmos_h,atmos_dr))-D9)*(A9*linterp(0,atmos_h,atmos_aspeed))*60)/perfweight</f>
        <v>325.65834074245748</v>
      </c>
      <c r="F9" cm="1">
        <f t="array" ref="F9">((D9)*(A9*linterp(0,atmos_h,atmos_aspeed))*60)/perfweight</f>
        <v>877.1412325908758</v>
      </c>
    </row>
    <row r="10" spans="1:6" x14ac:dyDescent="0.25">
      <c r="A10">
        <v>0.09</v>
      </c>
      <c r="B10" cm="1">
        <f t="array" ref="B10">(1*perfweight)/(0.5*linterp(0,atmos_h,atmos_rho)*((A10*linterp(0,atmos_h,atmos_aspeed))^2)*wingarea)</f>
        <v>1.9843094597145456</v>
      </c>
      <c r="C10">
        <f t="shared" si="0"/>
        <v>0.26412400997858321</v>
      </c>
      <c r="D10" cm="1">
        <f t="array" ref="D10">C10*linterp(0,atmos_h,atmos_qms)*(A10^2)*wingarea</f>
        <v>119.80006156048438</v>
      </c>
      <c r="E10" cm="1">
        <f t="array" ref="E10">(((tsl*linterp(0,atmos_h,atmos_dr))-D10)*(A10*linterp(0,atmos_h,atmos_aspeed))*60)/perfweight</f>
        <v>550.63765962108971</v>
      </c>
      <c r="F10" cm="1">
        <f t="array" ref="F10">((D10)*(A10*linterp(0,atmos_h,atmos_aspeed))*60)/perfweight</f>
        <v>802.51186037891023</v>
      </c>
    </row>
    <row r="11" spans="1:6" x14ac:dyDescent="0.25">
      <c r="A11">
        <v>0.1</v>
      </c>
      <c r="B11" cm="1">
        <f t="array" ref="B11">(1*perfweight)/(0.5*linterp(0,atmos_h,atmos_rho)*((A11*linterp(0,atmos_h,atmos_aspeed))^2)*wingarea)</f>
        <v>1.6072906623687815</v>
      </c>
      <c r="C11">
        <f t="shared" si="0"/>
        <v>0.18016976294694831</v>
      </c>
      <c r="D11" cm="1">
        <f t="array" ref="D11">C11*linterp(0,atmos_h,atmos_qms)*(A11^2)*wingarea</f>
        <v>100.88951802159229</v>
      </c>
      <c r="E11" cm="1">
        <f t="array" ref="E11">(((tsl*linterp(0,atmos_h,atmos_dr))-D11)*(A11*linterp(0,atmos_h,atmos_aspeed))*60)/perfweight</f>
        <v>752.57205806408729</v>
      </c>
      <c r="F11" cm="1">
        <f t="array" ref="F11">((D11)*(A11*linterp(0,atmos_h,atmos_aspeed))*60)/perfweight</f>
        <v>750.9274086025797</v>
      </c>
    </row>
    <row r="12" spans="1:6" x14ac:dyDescent="0.25">
      <c r="A12">
        <v>0.11</v>
      </c>
      <c r="B12" cm="1">
        <f t="array" ref="B12">(1*perfweight)/(0.5*linterp(0,atmos_h,atmos_rho)*((A12*linterp(0,atmos_h,atmos_aspeed))^2)*wingarea)</f>
        <v>1.3283393903874228</v>
      </c>
      <c r="C12">
        <f t="shared" si="0"/>
        <v>0.12939810323539946</v>
      </c>
      <c r="D12" cm="1">
        <f t="array" ref="D12">C12*linterp(0,atmos_h,atmos_qms)*(A12^2)*wingarea</f>
        <v>87.67533234379529</v>
      </c>
      <c r="E12" cm="1">
        <f t="array" ref="E12">(((tsl*linterp(0,atmos_h,atmos_dr))-D12)*(A12*linterp(0,atmos_h,atmos_aspeed))*60)/perfweight</f>
        <v>936.0187353106063</v>
      </c>
      <c r="F12" cm="1">
        <f t="array" ref="F12">((D12)*(A12*linterp(0,atmos_h,atmos_aspeed))*60)/perfweight</f>
        <v>717.83067802272706</v>
      </c>
    </row>
    <row r="13" spans="1:6" x14ac:dyDescent="0.25">
      <c r="A13">
        <v>0.12</v>
      </c>
      <c r="B13" cm="1">
        <f t="array" ref="B13">(1*perfweight)/(0.5*linterp(0,atmos_h,atmos_rho)*((A13*linterp(0,atmos_h,atmos_aspeed))^2)*wingarea)</f>
        <v>1.1161740710894317</v>
      </c>
      <c r="C13">
        <f t="shared" si="0"/>
        <v>9.7242362532286061E-2</v>
      </c>
      <c r="D13" cm="1">
        <f t="array" ref="D13">C13*linterp(0,atmos_h,atmos_qms)*(A13^2)*wingarea</f>
        <v>78.411928252772441</v>
      </c>
      <c r="E13" cm="1">
        <f t="array" ref="E13">(((tsl*linterp(0,atmos_h,atmos_dr))-D13)*(A13*linterp(0,atmos_h,atmos_aspeed))*60)/perfweight</f>
        <v>1103.8491086632775</v>
      </c>
      <c r="F13" cm="1">
        <f t="array" ref="F13">((D13)*(A13*linterp(0,atmos_h,atmos_aspeed))*60)/perfweight</f>
        <v>700.35025133672264</v>
      </c>
    </row>
    <row r="14" spans="1:6" x14ac:dyDescent="0.25">
      <c r="A14">
        <v>0.13</v>
      </c>
      <c r="B14" cm="1">
        <f t="array" ref="B14">(1*perfweight)/(0.5*linterp(0,atmos_h,atmos_rho)*((A14*linterp(0,atmos_h,atmos_aspeed))^2)*wingarea)</f>
        <v>0.9510595635318233</v>
      </c>
      <c r="C14">
        <f t="shared" si="0"/>
        <v>7.6079886189891227E-2</v>
      </c>
      <c r="D14" cm="1">
        <f t="array" ref="D14">C14*linterp(0,atmos_h,atmos_qms)*(A14^2)*wingarea</f>
        <v>71.998044179877112</v>
      </c>
      <c r="E14" cm="1">
        <f t="array" ref="E14">(((tsl*linterp(0,atmos_h,atmos_dr))-D14)*(A14*linterp(0,atmos_h,atmos_aspeed))*60)/perfweight</f>
        <v>1257.8971911560982</v>
      </c>
      <c r="F14" cm="1">
        <f t="array" ref="F14">((D14)*(A14*linterp(0,atmos_h,atmos_aspeed))*60)/perfweight</f>
        <v>696.65211551056848</v>
      </c>
    </row>
    <row r="15" spans="1:6" x14ac:dyDescent="0.25">
      <c r="A15">
        <v>0.14000000000000001</v>
      </c>
      <c r="B15" cm="1">
        <f t="array" ref="B15">(1*perfweight)/(0.5*linterp(0,atmos_h,atmos_rho)*((A15*linterp(0,atmos_h,atmos_aspeed))^2)*wingarea)</f>
        <v>0.82004625631060279</v>
      </c>
      <c r="C15">
        <f t="shared" si="0"/>
        <v>6.1693503474320163E-2</v>
      </c>
      <c r="D15" cm="1">
        <f t="array" ref="D15">C15*linterp(0,atmos_h,atmos_qms)*(A15^2)*wingarea</f>
        <v>67.711065099996091</v>
      </c>
      <c r="E15" cm="1">
        <f t="array" ref="E15">(((tsl*linterp(0,atmos_h,atmos_dr))-D15)*(A15*linterp(0,atmos_h,atmos_aspeed))*60)/perfweight</f>
        <v>1399.3300930789449</v>
      </c>
      <c r="F15" cm="1">
        <f t="array" ref="F15">((D15)*(A15*linterp(0,atmos_h,atmos_aspeed))*60)/perfweight</f>
        <v>705.56916025438863</v>
      </c>
    </row>
    <row r="16" spans="1:6" x14ac:dyDescent="0.25">
      <c r="A16">
        <v>0.15</v>
      </c>
      <c r="B16" cm="1">
        <f t="array" ref="B16">(1*perfweight)/(0.5*linterp(0,atmos_h,atmos_rho)*((A16*linterp(0,atmos_h,atmos_aspeed))^2)*wingarea)</f>
        <v>0.71435140549723641</v>
      </c>
      <c r="C16">
        <f t="shared" si="0"/>
        <v>5.1638471693224386E-2</v>
      </c>
      <c r="D16" cm="1">
        <f t="array" ref="D16">C16*linterp(0,atmos_h,atmos_qms)*(A16^2)*wingarea</f>
        <v>65.060895787374392</v>
      </c>
      <c r="E16" cm="1">
        <f t="array" ref="E16">(((tsl*linterp(0,atmos_h,atmos_dr))-D16)*(A16*linterp(0,atmos_h,atmos_aspeed))*60)/perfweight</f>
        <v>1528.8703228922798</v>
      </c>
      <c r="F16" cm="1">
        <f t="array" ref="F16">((D16)*(A16*linterp(0,atmos_h,atmos_aspeed))*60)/perfweight</f>
        <v>726.3788771077202</v>
      </c>
    </row>
    <row r="17" spans="1:6" x14ac:dyDescent="0.25">
      <c r="A17">
        <v>0.16</v>
      </c>
      <c r="B17" cm="1">
        <f t="array" ref="B17">(1*perfweight)/(0.5*linterp(0,atmos_h,atmos_rho)*((A17*linterp(0,atmos_h,atmos_aspeed))^2)*wingarea)</f>
        <v>0.62784791498780534</v>
      </c>
      <c r="C17">
        <f t="shared" si="0"/>
        <v>4.4439966269981139E-2</v>
      </c>
      <c r="D17" cm="1">
        <f t="array" ref="D17">C17*linterp(0,atmos_h,atmos_qms)*(A17^2)*wingarea</f>
        <v>63.7056316421845</v>
      </c>
      <c r="E17" cm="1">
        <f t="array" ref="E17">(((tsl*linterp(0,atmos_h,atmos_dr))-D17)*(A17*linterp(0,atmos_h,atmos_aspeed))*60)/perfweight</f>
        <v>1646.9347252988448</v>
      </c>
      <c r="F17" cm="1">
        <f t="array" ref="F17">((D17)*(A17*linterp(0,atmos_h,atmos_aspeed))*60)/perfweight</f>
        <v>758.664421367822</v>
      </c>
    </row>
    <row r="18" spans="1:6" x14ac:dyDescent="0.25">
      <c r="A18">
        <v>0.17</v>
      </c>
      <c r="B18" cm="1">
        <f t="array" ref="B18">(1*perfweight)/(0.5*linterp(0,atmos_h,atmos_rho)*((A18*linterp(0,atmos_h,atmos_aspeed))^2)*wingarea)</f>
        <v>0.55615593853591072</v>
      </c>
      <c r="C18">
        <f t="shared" si="0"/>
        <v>3.9177184534063103E-2</v>
      </c>
      <c r="D18" cm="1">
        <f t="array" ref="D18">C18*linterp(0,atmos_h,atmos_qms)*(A18^2)*wingarea</f>
        <v>63.400868210377993</v>
      </c>
      <c r="E18" cm="1">
        <f t="array" ref="E18">(((tsl*linterp(0,atmos_h,atmos_dr))-D18)*(A18*linterp(0,atmos_h,atmos_aspeed))*60)/perfweight</f>
        <v>1753.7243823488689</v>
      </c>
      <c r="F18" cm="1">
        <f t="array" ref="F18">((D18)*(A18*linterp(0,atmos_h,atmos_aspeed))*60)/perfweight</f>
        <v>802.22471098446431</v>
      </c>
    </row>
    <row r="19" spans="1:6" x14ac:dyDescent="0.25">
      <c r="A19">
        <v>0.18</v>
      </c>
      <c r="B19" cm="1">
        <f t="array" ref="B19">(1*perfweight)/(0.5*linterp(0,atmos_h,atmos_rho)*((A19*linterp(0,atmos_h,atmos_aspeed))^2)*wingarea)</f>
        <v>0.49607736492863641</v>
      </c>
      <c r="C19">
        <f t="shared" si="0"/>
        <v>3.5257750623661446E-2</v>
      </c>
      <c r="D19" cm="1">
        <f t="array" ref="D19">C19*linterp(0,atmos_h,atmos_qms)*(A19^2)*wingarea</f>
        <v>63.968144290121089</v>
      </c>
      <c r="E19" cm="1">
        <f t="array" ref="E19">(((tsl*linterp(0,atmos_h,atmos_dr))-D19)*(A19*linterp(0,atmos_h,atmos_aspeed))*60)/perfweight</f>
        <v>1849.2845475102172</v>
      </c>
      <c r="F19" cm="1">
        <f t="array" ref="F19">((D19)*(A19*linterp(0,atmos_h,atmos_aspeed))*60)/perfweight</f>
        <v>857.01449248978304</v>
      </c>
    </row>
    <row r="20" spans="1:6" x14ac:dyDescent="0.25">
      <c r="A20">
        <v>0.19</v>
      </c>
      <c r="B20" cm="1">
        <f t="array" ref="B20">(1*perfweight)/(0.5*linterp(0,atmos_h,atmos_rho)*((A20*linterp(0,atmos_h,atmos_aspeed))^2)*wingarea)</f>
        <v>0.44523287046226628</v>
      </c>
      <c r="C20">
        <f t="shared" si="0"/>
        <v>3.2290403154284289E-2</v>
      </c>
      <c r="D20" cm="1">
        <f t="array" ref="D20">C20*linterp(0,atmos_h,atmos_qms)*(A20^2)*wingarea</f>
        <v>65.274688711355196</v>
      </c>
      <c r="E20" cm="1">
        <f t="array" ref="E20">(((tsl*linterp(0,atmos_h,atmos_dr))-D20)*(A20*linterp(0,atmos_h,atmos_aspeed))*60)/perfweight</f>
        <v>1933.5456531900581</v>
      </c>
      <c r="F20" cm="1">
        <f t="array" ref="F20">((D20)*(A20*linterp(0,atmos_h,atmos_aspeed))*60)/perfweight</f>
        <v>923.10333347660867</v>
      </c>
    </row>
    <row r="21" spans="1:6" x14ac:dyDescent="0.25">
      <c r="A21">
        <v>0.2</v>
      </c>
      <c r="B21" cm="1">
        <f t="array" ref="B21">(1*perfweight)/(0.5*linterp(0,atmos_h,atmos_rho)*((A21*linterp(0,atmos_h,atmos_aspeed))^2)*wingarea)</f>
        <v>0.40182266559219537</v>
      </c>
      <c r="C21">
        <f t="shared" si="0"/>
        <v>3.0010610184184272E-2</v>
      </c>
      <c r="D21" cm="1">
        <f t="array" ref="D21">C21*linterp(0,atmos_h,atmos_qms)*(A21^2)*wingarea</f>
        <v>67.220069505398087</v>
      </c>
      <c r="E21" cm="1">
        <f t="array" ref="E21">(((tsl*linterp(0,atmos_h,atmos_dr))-D21)*(A21*linterp(0,atmos_h,atmos_aspeed))*60)/perfweight</f>
        <v>2006.3520160000435</v>
      </c>
      <c r="F21" cm="1">
        <f t="array" ref="F21">((D21)*(A21*linterp(0,atmos_h,atmos_aspeed))*60)/perfweight</f>
        <v>1000.64691733329</v>
      </c>
    </row>
    <row r="22" spans="1:6" x14ac:dyDescent="0.25">
      <c r="A22">
        <v>0.21</v>
      </c>
      <c r="B22" cm="1">
        <f t="array" ref="B22">(1*perfweight)/(0.5*linterp(0,atmos_h,atmos_rho)*((A22*linterp(0,atmos_h,atmos_aspeed))^2)*wingarea)</f>
        <v>0.36446500280471239</v>
      </c>
      <c r="C22">
        <f t="shared" si="0"/>
        <v>2.8235753772705218E-2</v>
      </c>
      <c r="D22" cm="1">
        <f t="array" ref="D22">C22*linterp(0,atmos_h,atmos_qms)*(A22^2)*wingarea</f>
        <v>69.72718231110936</v>
      </c>
      <c r="E22" cm="1">
        <f t="array" ref="E22">(((tsl*linterp(0,atmos_h,atmos_dr))-D22)*(A22*linterp(0,atmos_h,atmos_aspeed))*60)/perfweight</f>
        <v>2067.4823405171442</v>
      </c>
      <c r="F22" cm="1">
        <f t="array" ref="F22">((D22)*(A22*linterp(0,atmos_h,atmos_aspeed))*60)/perfweight</f>
        <v>1089.8665394828563</v>
      </c>
    </row>
    <row r="23" spans="1:6" x14ac:dyDescent="0.25">
      <c r="A23">
        <v>0.22</v>
      </c>
      <c r="B23" cm="1">
        <f t="array" ref="B23">(1*perfweight)/(0.5*linterp(0,atmos_h,atmos_rho)*((A23*linterp(0,atmos_h,atmos_aspeed))^2)*wingarea)</f>
        <v>0.33208484759685569</v>
      </c>
      <c r="C23">
        <f t="shared" si="0"/>
        <v>2.6837381452212466E-2</v>
      </c>
      <c r="D23" cm="1">
        <f t="array" ref="D23">C23*linterp(0,atmos_h,atmos_qms)*(A23^2)*wingarea</f>
        <v>72.736037985948812</v>
      </c>
      <c r="E23" cm="1">
        <f t="array" ref="E23">(((tsl*linterp(0,atmos_h,atmos_dr))-D23)*(A23*linterp(0,atmos_h,atmos_aspeed))*60)/perfweight</f>
        <v>2116.6646311097111</v>
      </c>
      <c r="F23" cm="1">
        <f t="array" ref="F23">((D23)*(A23*linterp(0,atmos_h,atmos_aspeed))*60)/perfweight</f>
        <v>1191.0341955569552</v>
      </c>
    </row>
    <row r="24" spans="1:6" x14ac:dyDescent="0.25">
      <c r="A24">
        <v>0.23</v>
      </c>
      <c r="B24" cm="1">
        <f t="array" ref="B24">(1*perfweight)/(0.5*linterp(0,atmos_h,atmos_rho)*((A24*linterp(0,atmos_h,atmos_aspeed))^2)*wingarea)</f>
        <v>0.30383566396385286</v>
      </c>
      <c r="C24">
        <f t="shared" si="0"/>
        <v>2.5723598863174029E-2</v>
      </c>
      <c r="D24" cm="1">
        <f t="array" ref="D24">C24*linterp(0,atmos_h,atmos_qms)*(A24^2)*wingarea</f>
        <v>76.199398074856774</v>
      </c>
      <c r="E24" cm="1">
        <f t="array" ref="E24">(((tsl*linterp(0,atmos_h,atmos_dr))-D24)*(A24*linterp(0,atmos_h,atmos_aspeed))*60)/perfweight</f>
        <v>2153.5872137219626</v>
      </c>
      <c r="F24" cm="1">
        <f t="array" ref="F24">((D24)*(A24*linterp(0,atmos_h,atmos_aspeed))*60)/perfweight</f>
        <v>1304.4615596113706</v>
      </c>
    </row>
    <row r="25" spans="1:6" x14ac:dyDescent="0.25">
      <c r="A25">
        <v>0.24</v>
      </c>
      <c r="B25" cm="1">
        <f t="array" ref="B25">(1*perfweight)/(0.5*linterp(0,atmos_h,atmos_rho)*((A25*linterp(0,atmos_h,atmos_aspeed))^2)*wingarea)</f>
        <v>0.27904351777235792</v>
      </c>
      <c r="C25">
        <f t="shared" si="0"/>
        <v>2.4827647658267879E-2</v>
      </c>
      <c r="D25" cm="1">
        <f t="array" ref="D25">C25*linterp(0,atmos_h,atmos_qms)*(A25^2)*wingarea</f>
        <v>80.079655663193108</v>
      </c>
      <c r="E25" cm="1">
        <f t="array" ref="E25">(((tsl*linterp(0,atmos_h,atmos_dr))-D25)*(A25*linterp(0,atmos_h,atmos_aspeed))*60)/perfweight</f>
        <v>2177.9070022123424</v>
      </c>
      <c r="F25" cm="1">
        <f t="array" ref="F25">((D25)*(A25*linterp(0,atmos_h,atmos_aspeed))*60)/perfweight</f>
        <v>1430.4917177876571</v>
      </c>
    </row>
    <row r="26" spans="1:6" x14ac:dyDescent="0.25">
      <c r="A26">
        <v>0.25</v>
      </c>
      <c r="B26" cm="1">
        <f t="array" ref="B26">(1*perfweight)/(0.5*linterp(0,atmos_h,atmos_rho)*((A26*linterp(0,atmos_h,atmos_aspeed))^2)*wingarea)</f>
        <v>0.25716650597900509</v>
      </c>
      <c r="C26">
        <f t="shared" si="0"/>
        <v>2.4100345931441877E-2</v>
      </c>
      <c r="D26" cm="1">
        <f t="array" ref="D26">C26*linterp(0,atmos_h,atmos_qms)*(A26^2)*wingarea</f>
        <v>84.346571443454764</v>
      </c>
      <c r="E26" cm="1">
        <f t="array" ref="E26">(((tsl*linterp(0,atmos_h,atmos_dr))-D26)*(A26*linterp(0,atmos_h,atmos_aspeed))*60)/perfweight</f>
        <v>2189.2557807706748</v>
      </c>
      <c r="F26" cm="1">
        <f t="array" ref="F26">((D26)*(A26*linterp(0,atmos_h,atmos_aspeed))*60)/perfweight</f>
        <v>1569.4928858959918</v>
      </c>
    </row>
    <row r="27" spans="1:6" x14ac:dyDescent="0.25">
      <c r="A27">
        <v>0.26</v>
      </c>
      <c r="B27" cm="1">
        <f t="array" ref="B27">(1*perfweight)/(0.5*linterp(0,atmos_h,atmos_rho)*((A27*linterp(0,atmos_h,atmos_aspeed))^2)*wingarea)</f>
        <v>0.23776489088295583</v>
      </c>
      <c r="C27">
        <f t="shared" si="0"/>
        <v>2.3504992886868203E-2</v>
      </c>
      <c r="D27" cm="1">
        <f t="array" ref="D27">C27*linterp(0,atmos_h,atmos_qms)*(A27^2)*wingarea</f>
        <v>88.975607144969288</v>
      </c>
      <c r="E27" cm="1">
        <f t="array" ref="E27">(((tsl*linterp(0,atmos_h,atmos_dr))-D27)*(A27*linterp(0,atmos_h,atmos_aspeed))*60)/perfweight</f>
        <v>2187.2450365467448</v>
      </c>
      <c r="F27" cm="1">
        <f t="array" ref="F27">((D27)*(A27*linterp(0,atmos_h,atmos_aspeed))*60)/perfweight</f>
        <v>1721.8535767865887</v>
      </c>
    </row>
    <row r="28" spans="1:6" x14ac:dyDescent="0.25">
      <c r="A28">
        <v>0.27</v>
      </c>
      <c r="B28" cm="1">
        <f t="array" ref="B28">(1*perfweight)/(0.5*linterp(0,atmos_h,atmos_rho)*((A28*linterp(0,atmos_h,atmos_aspeed))^2)*wingarea)</f>
        <v>0.22047882885717168</v>
      </c>
      <c r="C28">
        <f t="shared" si="0"/>
        <v>2.3013876666402262E-2</v>
      </c>
      <c r="D28" cm="1">
        <f t="array" ref="D28">C28*linterp(0,atmos_h,atmos_qms)*(A28^2)*wingarea</f>
        <v>93.946682751164929</v>
      </c>
      <c r="E28" cm="1">
        <f t="array" ref="E28">(((tsl*linterp(0,atmos_h,atmos_dr))-D28)*(A28*linterp(0,atmos_h,atmos_aspeed))*60)/perfweight</f>
        <v>2171.4697183614194</v>
      </c>
      <c r="F28" cm="1">
        <f t="array" ref="F28">((D28)*(A28*linterp(0,atmos_h,atmos_aspeed))*60)/perfweight</f>
        <v>1887.9788416385809</v>
      </c>
    </row>
    <row r="29" spans="1:6" x14ac:dyDescent="0.25">
      <c r="A29">
        <v>0.28000000000000003</v>
      </c>
      <c r="B29" cm="1">
        <f t="array" ref="B29">(1*perfweight)/(0.5*linterp(0,atmos_h,atmos_rho)*((A29*linterp(0,atmos_h,atmos_aspeed))^2)*wingarea)</f>
        <v>0.2050115640776507</v>
      </c>
      <c r="C29">
        <f t="shared" si="0"/>
        <v>2.260584396714501E-2</v>
      </c>
      <c r="D29" cm="1">
        <f t="array" ref="D29">C29*linterp(0,atmos_h,atmos_qms)*(A29^2)*wingarea</f>
        <v>99.243238674999034</v>
      </c>
      <c r="E29" cm="1">
        <f t="array" ref="E29">(((tsl*linterp(0,atmos_h,atmos_dr))-D29)*(A29*linterp(0,atmos_h,atmos_aspeed))*60)/perfweight</f>
        <v>2141.5111899796643</v>
      </c>
      <c r="F29" cm="1">
        <f t="array" ref="F29">((D29)*(A29*linterp(0,atmos_h,atmos_aspeed))*60)/perfweight</f>
        <v>2068.2873166870027</v>
      </c>
    </row>
    <row r="30" spans="1:6" x14ac:dyDescent="0.25">
      <c r="A30">
        <v>0.28999999999999998</v>
      </c>
      <c r="B30" cm="1">
        <f t="array" ref="B30">(1*perfweight)/(0.5*linterp(0,atmos_h,atmos_rho)*((A30*linterp(0,atmos_h,atmos_aspeed))^2)*wingarea)</f>
        <v>0.19111660670259001</v>
      </c>
      <c r="C30">
        <f t="shared" si="0"/>
        <v>2.2264584556165774E-2</v>
      </c>
      <c r="D30" cm="1">
        <f t="array" ref="D30">C30*linterp(0,atmos_h,atmos_qms)*(A30^2)*wingarea</f>
        <v>104.85152027490989</v>
      </c>
      <c r="E30" cm="1">
        <f t="array" ref="E30">(((tsl*linterp(0,atmos_h,atmos_dr))-D30)*(A30*linterp(0,atmos_h,atmos_aspeed))*60)/perfweight</f>
        <v>2096.9395723615658</v>
      </c>
      <c r="F30" cm="1">
        <f t="array" ref="F30">((D30)*(A30*linterp(0,atmos_h,atmos_aspeed))*60)/perfweight</f>
        <v>2263.208880971767</v>
      </c>
    </row>
    <row r="31" spans="1:6" x14ac:dyDescent="0.25">
      <c r="A31">
        <v>0.3</v>
      </c>
      <c r="B31" cm="1">
        <f t="array" ref="B31">(1*perfweight)/(0.5*linterp(0,atmos_h,atmos_rho)*((A31*linterp(0,atmos_h,atmos_aspeed))^2)*wingarea)</f>
        <v>0.1785878513743091</v>
      </c>
      <c r="C31">
        <f t="shared" si="0"/>
        <v>2.1977404480826523E-2</v>
      </c>
      <c r="D31" cm="1">
        <f t="array" ref="D31">C31*linterp(0,atmos_h,atmos_qms)*(A31^2)*wingarea</f>
        <v>110.76002644684358</v>
      </c>
      <c r="E31" cm="1">
        <f t="array" ref="E31">(((tsl*linterp(0,atmos_h,atmos_dr))-D31)*(A31*linterp(0,atmos_h,atmos_aspeed))*60)/perfweight</f>
        <v>2037.3156174631401</v>
      </c>
      <c r="F31" cm="1">
        <f t="array" ref="F31">((D31)*(A31*linterp(0,atmos_h,atmos_aspeed))*60)/perfweight</f>
        <v>2473.1827825368596</v>
      </c>
    </row>
    <row r="32" spans="1:6" x14ac:dyDescent="0.25">
      <c r="A32">
        <v>0.31</v>
      </c>
      <c r="B32" cm="1">
        <f t="array" ref="B32">(1*perfweight)/(0.5*linterp(0,atmos_h,atmos_rho)*((A32*linterp(0,atmos_h,atmos_aspeed))^2)*wingarea)</f>
        <v>0.16725188994472234</v>
      </c>
      <c r="C32">
        <f t="shared" si="0"/>
        <v>2.1734338070785054E-2</v>
      </c>
      <c r="D32" cm="1">
        <f t="array" ref="D32">C32*linterp(0,atmos_h,atmos_qms)*(A32^2)*wingarea</f>
        <v>116.95908065847996</v>
      </c>
      <c r="E32" cm="1">
        <f t="array" ref="E32">(((tsl*linterp(0,atmos_h,atmos_dr))-D32)*(A32*linterp(0,atmos_h,atmos_aspeed))*60)/perfweight</f>
        <v>1962.1922193660248</v>
      </c>
      <c r="F32" cm="1">
        <f t="array" ref="F32">((D32)*(A32*linterp(0,atmos_h,atmos_aspeed))*60)/perfweight</f>
        <v>2698.6561273006419</v>
      </c>
    </row>
    <row r="33" spans="1:6" x14ac:dyDescent="0.25">
      <c r="A33">
        <v>0.32</v>
      </c>
      <c r="B33" cm="1">
        <f t="array" ref="B33">(1*perfweight)/(0.5*linterp(0,atmos_h,atmos_rho)*((A33*linterp(0,atmos_h,atmos_aspeed))^2)*wingarea)</f>
        <v>0.15696197874695134</v>
      </c>
      <c r="C33">
        <f t="shared" si="0"/>
        <v>2.1527497891873821E-2</v>
      </c>
      <c r="D33" cm="1">
        <f t="array" ref="D33">C33*linterp(0,atmos_h,atmos_qms)*(A33^2)*wingarea</f>
        <v>123.44049431054613</v>
      </c>
      <c r="E33" cm="1">
        <f t="array" ref="E33">(((tsl*linterp(0,atmos_h,atmos_dr))-D33)*(A33*linterp(0,atmos_h,atmos_aspeed))*60)/perfweight</f>
        <v>1871.1156420703501</v>
      </c>
      <c r="F33" cm="1">
        <f t="array" ref="F33">((D33)*(A33*linterp(0,atmos_h,atmos_aspeed))*60)/perfweight</f>
        <v>2940.0826512629828</v>
      </c>
    </row>
    <row r="34" spans="1:6" x14ac:dyDescent="0.25">
      <c r="A34">
        <v>0.33</v>
      </c>
      <c r="B34" cm="1">
        <f t="array" ref="B34">(1*perfweight)/(0.5*linterp(0,atmos_h,atmos_rho)*((A34*linterp(0,atmos_h,atmos_aspeed))^2)*wingarea)</f>
        <v>0.14759326559860253</v>
      </c>
      <c r="C34">
        <f t="shared" si="0"/>
        <v>2.1350593867103699E-2</v>
      </c>
      <c r="D34" cm="1">
        <f t="array" ref="D34">C34*linterp(0,atmos_h,atmos_qms)*(A34^2)*wingarea</f>
        <v>130.19730039375506</v>
      </c>
      <c r="E34" cm="1">
        <f t="array" ref="E34">(((tsl*linterp(0,atmos_h,atmos_dr))-D34)*(A34*linterp(0,atmos_h,atmos_aspeed))*60)/perfweight</f>
        <v>1763.6265240525411</v>
      </c>
      <c r="F34" cm="1">
        <f t="array" ref="F34">((D34)*(A34*linterp(0,atmos_h,atmos_aspeed))*60)/perfweight</f>
        <v>3197.9217159474588</v>
      </c>
    </row>
    <row r="35" spans="1:6" x14ac:dyDescent="0.25">
      <c r="A35">
        <v>0.34</v>
      </c>
      <c r="B35" cm="1">
        <f t="array" ref="B35">(1*perfweight)/(0.5*linterp(0,atmos_h,atmos_rho)*((A35*linterp(0,atmos_h,atmos_aspeed))^2)*wingarea)</f>
        <v>0.13903898463397768</v>
      </c>
      <c r="C35">
        <f t="shared" si="0"/>
        <v>2.1198574033378943E-2</v>
      </c>
      <c r="D35" cm="1">
        <f t="array" ref="D35">C35*linterp(0,atmos_h,atmos_qms)*(A35^2)*wingarea</f>
        <v>137.22354115259452</v>
      </c>
      <c r="E35" cm="1">
        <f t="array" ref="E35">(((tsl*linterp(0,atmos_h,atmos_dr))-D35)*(A35*linterp(0,atmos_h,atmos_aspeed))*60)/perfweight</f>
        <v>1639.2607055482181</v>
      </c>
      <c r="F35" cm="1">
        <f t="array" ref="F35">((D35)*(A35*linterp(0,atmos_h,atmos_aspeed))*60)/perfweight</f>
        <v>3472.6374811184487</v>
      </c>
    </row>
    <row r="36" spans="1:6" x14ac:dyDescent="0.25">
      <c r="A36">
        <v>0.35</v>
      </c>
      <c r="B36" cm="1">
        <f t="array" ref="B36">(1*perfweight)/(0.5*linterp(0,atmos_h,atmos_rho)*((A36*linterp(0,atmos_h,atmos_aspeed))^2)*wingarea)</f>
        <v>0.13120740100969649</v>
      </c>
      <c r="C36">
        <f t="shared" si="0"/>
        <v>2.1067353688942598E-2</v>
      </c>
      <c r="D36" cm="1">
        <f t="array" ref="D36">C36*linterp(0,atmos_h,atmos_qms)*(A36^2)*wingarea</f>
        <v>144.51409759359936</v>
      </c>
      <c r="E36" cm="1">
        <f t="array" ref="E36">(((tsl*linterp(0,atmos_h,atmos_dr))-D36)*(A36*linterp(0,atmos_h,atmos_aspeed))*60)/perfweight</f>
        <v>1497.5499140151678</v>
      </c>
      <c r="F36" cm="1">
        <f t="array" ref="F36">((D36)*(A36*linterp(0,atmos_h,atmos_aspeed))*60)/perfweight</f>
        <v>3764.6982193181648</v>
      </c>
    </row>
    <row r="37" spans="1:6" x14ac:dyDescent="0.25">
      <c r="A37">
        <v>0.36</v>
      </c>
      <c r="B37" cm="1">
        <f t="array" ref="B37">(1*perfweight)/(0.5*linterp(0,atmos_h,atmos_rho)*((A37*linterp(0,atmos_h,atmos_aspeed))^2)*wingarea)</f>
        <v>0.1240193412321591</v>
      </c>
      <c r="C37">
        <f t="shared" si="0"/>
        <v>2.0953609413978842E-2</v>
      </c>
      <c r="D37" cm="1">
        <f t="array" ref="D37">C37*linterp(0,atmos_h,atmos_qms)*(A37^2)*wingarea</f>
        <v>152.06455167253029</v>
      </c>
      <c r="E37" cm="1">
        <f t="array" ref="E37">(((tsl*linterp(0,atmos_h,atmos_dr))-D37)*(A37*linterp(0,atmos_h,atmos_aspeed))*60)/perfweight</f>
        <v>1338.0223353524839</v>
      </c>
      <c r="F37" cm="1">
        <f t="array" ref="F37">((D37)*(A37*linterp(0,atmos_h,atmos_aspeed))*60)/perfweight</f>
        <v>4074.5757446475154</v>
      </c>
    </row>
    <row r="38" spans="1:6" x14ac:dyDescent="0.25">
      <c r="A38">
        <v>0.37</v>
      </c>
      <c r="B38" cm="1">
        <f t="array" ref="B38">(1*perfweight)/(0.5*linterp(0,atmos_h,atmos_rho)*((A38*linterp(0,atmos_h,atmos_aspeed))^2)*wingarea)</f>
        <v>0.11740618424899794</v>
      </c>
      <c r="C38">
        <f t="shared" si="0"/>
        <v>2.0854621150194399E-2</v>
      </c>
      <c r="D38" cm="1">
        <f t="array" ref="D38">C38*linterp(0,atmos_h,atmos_qms)*(A38^2)*wingarea</f>
        <v>159.87107419313313</v>
      </c>
      <c r="E38" cm="1">
        <f t="array" ref="E38">(((tsl*linterp(0,atmos_h,atmos_dr))-D38)*(A38*linterp(0,atmos_h,atmos_aspeed))*60)/perfweight</f>
        <v>1160.2030924895867</v>
      </c>
      <c r="F38" cm="1">
        <f t="array" ref="F38">((D38)*(A38*linterp(0,atmos_h,atmos_aspeed))*60)/perfweight</f>
        <v>4402.7449341770798</v>
      </c>
    </row>
    <row r="39" spans="1:6" x14ac:dyDescent="0.25">
      <c r="A39">
        <v>0.38</v>
      </c>
      <c r="B39" cm="1">
        <f t="array" ref="B39">(1*perfweight)/(0.5*linterp(0,atmos_h,atmos_rho)*((A39*linterp(0,atmos_h,atmos_aspeed))^2)*wingarea)</f>
        <v>0.11130821761556657</v>
      </c>
      <c r="C39">
        <f t="shared" si="0"/>
        <v>2.076815019714277E-2</v>
      </c>
      <c r="D39" cm="1">
        <f t="array" ref="D39">C39*linterp(0,atmos_h,atmos_qms)*(A39^2)*wingarea</f>
        <v>167.93033307783881</v>
      </c>
      <c r="E39" cm="1">
        <f t="array" ref="E39">(((tsl*linterp(0,atmos_h,atmos_dr))-D39)*(A39*linterp(0,atmos_h,atmos_aspeed))*60)/perfweight</f>
        <v>963.6146484085408</v>
      </c>
      <c r="F39" cm="1">
        <f t="array" ref="F39">((D39)*(A39*linterp(0,atmos_h,atmos_aspeed))*60)/perfweight</f>
        <v>4749.6833249247929</v>
      </c>
    </row>
    <row r="40" spans="1:6" x14ac:dyDescent="0.25">
      <c r="A40">
        <v>0.39</v>
      </c>
      <c r="B40" cm="1">
        <f t="array" ref="B40">(1*perfweight)/(0.5*linterp(0,atmos_h,atmos_rho)*((A40*linterp(0,atmos_h,atmos_aspeed))^2)*wingarea)</f>
        <v>0.10567328483686926</v>
      </c>
      <c r="C40">
        <f t="shared" si="0"/>
        <v>2.0692344273949274E-2</v>
      </c>
      <c r="D40" cm="1">
        <f t="array" ref="D40">C40*linterp(0,atmos_h,atmos_qms)*(A40^2)*wingarea</f>
        <v>176.239417886653</v>
      </c>
      <c r="E40" cm="1">
        <f t="array" ref="E40">(((tsl*linterp(0,atmos_h,atmos_dr))-D40)*(A40*linterp(0,atmos_h,atmos_aspeed))*60)/perfweight</f>
        <v>747.77714716295225</v>
      </c>
      <c r="F40" cm="1">
        <f t="array" ref="F40">((D40)*(A40*linterp(0,atmos_h,atmos_aspeed))*60)/perfweight</f>
        <v>5115.8707728370482</v>
      </c>
    </row>
    <row r="41" spans="1:6" x14ac:dyDescent="0.25">
      <c r="A41">
        <v>0.4</v>
      </c>
      <c r="B41" cm="1">
        <f t="array" ref="B41">(1*perfweight)/(0.5*linterp(0,atmos_h,atmos_rho)*((A41*linterp(0,atmos_h,atmos_aspeed))^2)*wingarea)</f>
        <v>0.10045566639804884</v>
      </c>
      <c r="C41">
        <f t="shared" si="0"/>
        <v>2.0625663136511516E-2</v>
      </c>
      <c r="D41" cm="1">
        <f t="array" ref="D41">C41*linterp(0,atmos_h,atmos_qms)*(A41^2)*wingarea</f>
        <v>184.79577737634955</v>
      </c>
      <c r="E41" cm="1">
        <f t="array" ref="E41">(((tsl*linterp(0,atmos_h,atmos_dr))-D41)*(A41*linterp(0,atmos_h,atmos_aspeed))*60)/perfweight</f>
        <v>512.20870374402091</v>
      </c>
      <c r="F41" cm="1">
        <f t="array" ref="F41">((D41)*(A41*linterp(0,atmos_h,atmos_aspeed))*60)/perfweight</f>
        <v>5501.789162922646</v>
      </c>
    </row>
    <row r="42" spans="1:6" x14ac:dyDescent="0.25">
      <c r="A42">
        <v>0.41</v>
      </c>
      <c r="B42" cm="1">
        <f t="array" ref="B42">(1*perfweight)/(0.5*linterp(0,atmos_h,atmos_rho)*((A42*linterp(0,atmos_h,atmos_aspeed))^2)*wingarea)</f>
        <v>9.5615149456798429E-2</v>
      </c>
      <c r="C42">
        <f t="shared" si="0"/>
        <v>2.0566819921950048E-2</v>
      </c>
      <c r="D42" cm="1">
        <f t="array" ref="D42">C42*linterp(0,atmos_h,atmos_qms)*(A42^2)*wingarea</f>
        <v>193.59716758738799</v>
      </c>
      <c r="E42" cm="1">
        <f t="array" ref="E42">(((tsl*linterp(0,atmos_h,atmos_dr))-D42)*(A42*linterp(0,atmos_h,atmos_aspeed))*60)/perfweight</f>
        <v>256.42565152718481</v>
      </c>
      <c r="F42" cm="1">
        <f t="array" ref="F42">((D42)*(A42*linterp(0,atmos_h,atmos_aspeed))*60)/perfweight</f>
        <v>5907.9221618061492</v>
      </c>
    </row>
    <row r="43" spans="1:6" x14ac:dyDescent="0.25">
      <c r="A43">
        <v>0.42</v>
      </c>
      <c r="B43" cm="1">
        <f t="array" ref="B43">(1*perfweight)/(0.5*linterp(0,atmos_h,atmos_rho)*((A43*linterp(0,atmos_h,atmos_aspeed))^2)*wingarea)</f>
        <v>9.1116250701178098E-2</v>
      </c>
      <c r="C43">
        <f t="shared" si="0"/>
        <v>2.0514734610794075E-2</v>
      </c>
      <c r="D43" cm="1">
        <f t="array" ref="D43">C43*linterp(0,atmos_h,atmos_qms)*(A43^2)*wingarea</f>
        <v>202.64160847777731</v>
      </c>
      <c r="E43" cm="1">
        <f t="array" ref="E43">(((tsl*linterp(0,atmos_h,atmos_dr))-D43)*(A43*linterp(0,atmos_h,atmos_aspeed))*60)/perfweight</f>
        <v>-20.057245630779178</v>
      </c>
      <c r="F43" cm="1">
        <f t="array" ref="F43">((D43)*(A43*linterp(0,atmos_h,atmos_aspeed))*60)/perfweight</f>
        <v>6334.7550056307791</v>
      </c>
    </row>
    <row r="44" spans="1:6" x14ac:dyDescent="0.25">
      <c r="A44">
        <v>0.43</v>
      </c>
      <c r="B44" cm="1">
        <f t="array" ref="B44">(1*perfweight)/(0.5*linterp(0,atmos_h,atmos_rho)*((A44*linterp(0,atmos_h,atmos_aspeed))^2)*wingarea)</f>
        <v>8.6927564216808098E-2</v>
      </c>
      <c r="C44">
        <f t="shared" si="0"/>
        <v>2.0468496888081372E-2</v>
      </c>
      <c r="D44" cm="1">
        <f t="array" ref="D44">C44*linterp(0,atmos_h,atmos_qms)*(A44^2)*wingarea</f>
        <v>211.92734753271995</v>
      </c>
      <c r="E44" cm="1">
        <f t="array" ref="E44">(((tsl*linterp(0,atmos_h,atmos_dr))-D44)*(A44*linterp(0,atmos_h,atmos_aspeed))*60)/perfweight</f>
        <v>-317.72661088957477</v>
      </c>
      <c r="F44" cm="1">
        <f t="array" ref="F44">((D44)*(A44*linterp(0,atmos_h,atmos_aspeed))*60)/perfweight</f>
        <v>6782.7743175562409</v>
      </c>
    </row>
    <row r="45" spans="1:6" x14ac:dyDescent="0.25">
      <c r="A45">
        <v>0.44</v>
      </c>
      <c r="B45" cm="1">
        <f t="array" ref="B45">(1*perfweight)/(0.5*linterp(0,atmos_h,atmos_rho)*((A45*linterp(0,atmos_h,atmos_aspeed))^2)*wingarea)</f>
        <v>8.3021211899213923E-2</v>
      </c>
      <c r="C45">
        <f t="shared" si="0"/>
        <v>2.042733634076328E-2</v>
      </c>
      <c r="D45" cm="1">
        <f t="array" ref="D45">C45*linterp(0,atmos_h,atmos_qms)*(A45^2)*wingarea</f>
        <v>221.45282909648719</v>
      </c>
      <c r="E45" cm="1">
        <f t="array" ref="E45">(((tsl*linterp(0,atmos_h,atmos_dr))-D45)*(A45*linterp(0,atmos_h,atmos_aspeed))*60)/perfweight</f>
        <v>-637.07029680988001</v>
      </c>
      <c r="F45" cm="1">
        <f t="array" ref="F45">((D45)*(A45*linterp(0,atmos_h,atmos_aspeed))*60)/perfweight</f>
        <v>7252.4679501432138</v>
      </c>
    </row>
    <row r="46" spans="1:6" x14ac:dyDescent="0.25">
      <c r="A46">
        <v>0.45</v>
      </c>
      <c r="B46" cm="1">
        <f t="array" ref="B46">(1*perfweight)/(0.5*linterp(0,atmos_h,atmos_rho)*((A46*linterp(0,atmos_h,atmos_aspeed))^2)*wingarea)</f>
        <v>7.9372378388581813E-2</v>
      </c>
      <c r="C46">
        <f t="shared" si="0"/>
        <v>2.0390598415965733E-2</v>
      </c>
      <c r="D46" cm="1">
        <f t="array" ref="D46">C46*linterp(0,atmos_h,atmos_qms)*(A46^2)*wingarea</f>
        <v>231.21666842081939</v>
      </c>
      <c r="E46" cm="1">
        <f t="array" ref="E46">(((tsl*linterp(0,atmos_h,atmos_dr))-D46)*(A46*linterp(0,atmos_h,atmos_aspeed))*60)/perfweight</f>
        <v>-978.57724875324061</v>
      </c>
      <c r="F46" cm="1">
        <f t="array" ref="F46">((D46)*(A46*linterp(0,atmos_h,atmos_aspeed))*60)/perfweight</f>
        <v>7744.324848753241</v>
      </c>
    </row>
    <row r="47" spans="1:6" x14ac:dyDescent="0.25">
      <c r="A47">
        <v>0.46</v>
      </c>
      <c r="B47" cm="1">
        <f t="array" ref="B47">(1*perfweight)/(0.5*linterp(0,atmos_h,atmos_rho)*((A47*linterp(0,atmos_h,atmos_aspeed))^2)*wingarea)</f>
        <v>7.5958915990963216E-2</v>
      </c>
      <c r="C47">
        <f t="shared" si="0"/>
        <v>2.0357724928948377E-2</v>
      </c>
      <c r="D47" cm="1">
        <f t="array" ref="D47">C47*linterp(0,atmos_h,atmos_qms)*(A47^2)*wingarea</f>
        <v>241.21762961871423</v>
      </c>
      <c r="E47" cm="1">
        <f t="array" ref="E47">(((tsl*linterp(0,atmos_h,atmos_dr))-D47)*(A47*linterp(0,atmos_h,atmos_aspeed))*60)/perfweight</f>
        <v>-1342.7373860993634</v>
      </c>
      <c r="F47" cm="1">
        <f t="array" ref="F47">((D47)*(A47*linterp(0,atmos_h,atmos_aspeed))*60)/perfweight</f>
        <v>8258.8349327660308</v>
      </c>
    </row>
    <row r="48" spans="1:6" x14ac:dyDescent="0.25">
      <c r="A48">
        <v>0.47</v>
      </c>
      <c r="B48" cm="1">
        <f t="array" ref="B48">(1*perfweight)/(0.5*linterp(0,atmos_h,atmos_rho)*((A48*linterp(0,atmos_h,atmos_aspeed))^2)*wingarea)</f>
        <v>7.2761007803023192E-2</v>
      </c>
      <c r="C48">
        <f t="shared" si="0"/>
        <v>2.0328238183903721E-2</v>
      </c>
      <c r="D48" cm="1">
        <f t="array" ref="D48">C48*linterp(0,atmos_h,atmos_qms)*(A48^2)*wingarea</f>
        <v>251.45460686609289</v>
      </c>
      <c r="E48" cm="1">
        <f t="array" ref="E48">(((tsl*linterp(0,atmos_h,atmos_dr))-D48)*(A48*linterp(0,atmos_h,atmos_aspeed))*60)/perfweight</f>
        <v>-1730.041498627166</v>
      </c>
      <c r="F48" cm="1">
        <f t="array" ref="F48">((D48)*(A48*linterp(0,atmos_h,atmos_aspeed))*60)/perfweight</f>
        <v>8796.4889919604993</v>
      </c>
    </row>
    <row r="49" spans="1:6" x14ac:dyDescent="0.25">
      <c r="A49">
        <v>0.48</v>
      </c>
      <c r="B49" cm="1">
        <f t="array" ref="B49">(1*perfweight)/(0.5*linterp(0,atmos_h,atmos_rho)*((A49*linterp(0,atmos_h,atmos_aspeed))^2)*wingarea)</f>
        <v>6.976087944308948E-2</v>
      </c>
      <c r="C49">
        <f t="shared" si="0"/>
        <v>2.0301727978641743E-2</v>
      </c>
      <c r="D49" cm="1">
        <f t="array" ref="D49">C49*linterp(0,atmos_h,atmos_qms)*(A49^2)*wingarea</f>
        <v>261.92660831579826</v>
      </c>
      <c r="E49" cm="1">
        <f t="array" ref="E49">(((tsl*linterp(0,atmos_h,atmos_dr))-D49)*(A49*linterp(0,atmos_h,atmos_aspeed))*60)/perfweight</f>
        <v>-2140.9811558481961</v>
      </c>
      <c r="F49" cm="1">
        <f t="array" ref="F49">((D49)*(A49*linterp(0,atmos_h,atmos_aspeed))*60)/perfweight</f>
        <v>9357.7785958481945</v>
      </c>
    </row>
    <row r="50" spans="1:6" x14ac:dyDescent="0.25">
      <c r="A50">
        <v>0.49</v>
      </c>
      <c r="B50" cm="1">
        <f t="array" ref="B50">(1*perfweight)/(0.5*linterp(0,atmos_h,atmos_rho)*((A50*linterp(0,atmos_h,atmos_aspeed))^2)*wingarea)</f>
        <v>6.6942551535559433E-2</v>
      </c>
      <c r="C50">
        <f t="shared" si="0"/>
        <v>2.0277840922777644E-2</v>
      </c>
      <c r="D50" cm="1">
        <f t="array" ref="D50">C50*linterp(0,atmos_h,atmos_qms)*(A50^2)*wingarea</f>
        <v>272.63274228571396</v>
      </c>
      <c r="E50" cm="1">
        <f t="array" ref="E50">(((tsl*linterp(0,atmos_h,atmos_dr))-D50)*(A50*linterp(0,atmos_h,atmos_aspeed))*60)/perfweight</f>
        <v>-2576.0486274420678</v>
      </c>
      <c r="F50" cm="1">
        <f t="array" ref="F50">((D50)*(A50*linterp(0,atmos_h,atmos_aspeed))*60)/perfweight</f>
        <v>9943.1960141087347</v>
      </c>
    </row>
    <row r="51" spans="1:6" x14ac:dyDescent="0.25">
      <c r="A51">
        <v>0.5</v>
      </c>
      <c r="B51" cm="1">
        <f t="array" ref="B51">(1*perfweight)/(0.5*linterp(0,atmos_h,atmos_rho)*((A51*linterp(0,atmos_h,atmos_aspeed))^2)*wingarea)</f>
        <v>6.4291626494751272E-2</v>
      </c>
      <c r="C51">
        <f t="shared" si="0"/>
        <v>2.0256271620715117E-2</v>
      </c>
      <c r="D51" cm="1">
        <f t="array" ref="D51">C51*linterp(0,atmos_h,atmos_qms)*(A51^2)*wingarea</f>
        <v>283.57220536086368</v>
      </c>
      <c r="E51" cm="1">
        <f t="array" ref="E51">(((tsl*linterp(0,atmos_h,atmos_dr))-D51)*(A51*linterp(0,atmos_h,atmos_aspeed))*60)/perfweight</f>
        <v>-3035.7368132396623</v>
      </c>
      <c r="F51" cm="1">
        <f t="array" ref="F51">((D51)*(A51*linterp(0,atmos_h,atmos_aspeed))*60)/perfweight</f>
        <v>10553.234146572995</v>
      </c>
    </row>
    <row r="52" spans="1:6" x14ac:dyDescent="0.25">
      <c r="A52">
        <v>0.51</v>
      </c>
      <c r="B52" cm="1">
        <f t="array" ref="B52">(1*perfweight)/(0.5*linterp(0,atmos_h,atmos_rho)*((A52*linterp(0,atmos_h,atmos_aspeed))^2)*wingarea)</f>
        <v>6.1795104281767842E-2</v>
      </c>
      <c r="C52">
        <f t="shared" si="0"/>
        <v>2.0236755364618064E-2</v>
      </c>
      <c r="D52" cm="1">
        <f t="array" ref="D52">C52*linterp(0,atmos_h,atmos_qms)*(A52^2)*wingarea</f>
        <v>294.74427211226424</v>
      </c>
      <c r="E52" cm="1">
        <f t="array" ref="E52">(((tsl*linterp(0,atmos_h,atmos_dr))-D52)*(A52*linterp(0,atmos_h,atmos_aspeed))*60)/perfweight</f>
        <v>-3520.5391814435907</v>
      </c>
      <c r="F52" cm="1">
        <f t="array" ref="F52">((D52)*(A52*linterp(0,atmos_h,atmos_aspeed))*60)/perfweight</f>
        <v>11188.386461443593</v>
      </c>
    </row>
    <row r="53" spans="1:6" x14ac:dyDescent="0.25">
      <c r="A53">
        <v>0.52</v>
      </c>
      <c r="B53" cm="1">
        <f t="array" ref="B53">(1*perfweight)/(0.5*linterp(0,atmos_h,atmos_rho)*((A53*linterp(0,atmos_h,atmos_aspeed))^2)*wingarea)</f>
        <v>5.9441222720738957E-2</v>
      </c>
      <c r="C53">
        <f t="shared" si="0"/>
        <v>2.0219062055429261E-2</v>
      </c>
      <c r="D53" cm="1">
        <f t="array" ref="D53">C53*linterp(0,atmos_h,atmos_qms)*(A53^2)*wingarea</f>
        <v>306.14828618624239</v>
      </c>
      <c r="E53" cm="1">
        <f t="array" ref="E53">(((tsl*linterp(0,atmos_h,atmos_dr))-D53)*(A53*linterp(0,atmos_h,atmos_aspeed))*60)/perfweight</f>
        <v>-4030.9497139770624</v>
      </c>
      <c r="F53" cm="1">
        <f t="array" ref="F53">((D53)*(A53*linterp(0,atmos_h,atmos_aspeed))*60)/perfweight</f>
        <v>11849.14694064373</v>
      </c>
    </row>
    <row r="54" spans="1:6" x14ac:dyDescent="0.25">
      <c r="A54">
        <v>0.53</v>
      </c>
      <c r="B54" cm="1">
        <f t="array" ref="B54">(1*perfweight)/(0.5*linterp(0,atmos_h,atmos_rho)*((A54*linterp(0,atmos_h,atmos_aspeed))^2)*wingarea)</f>
        <v>5.7219318703053801E-2</v>
      </c>
      <c r="C54">
        <f t="shared" si="0"/>
        <v>2.0202991126836184E-2</v>
      </c>
      <c r="D54" cm="1">
        <f t="array" ref="D54">C54*linterp(0,atmos_h,atmos_qms)*(A54^2)*wingarea</f>
        <v>317.78365255934477</v>
      </c>
      <c r="E54" cm="1">
        <f t="array" ref="E54">(((tsl*linterp(0,atmos_h,atmos_dr))-D54)*(A54*linterp(0,atmos_h,atmos_aspeed))*60)/perfweight</f>
        <v>-4567.4628580196813</v>
      </c>
      <c r="F54" cm="1">
        <f t="array" ref="F54">((D54)*(A54*linterp(0,atmos_h,atmos_aspeed))*60)/perfweight</f>
        <v>12536.010031353017</v>
      </c>
    </row>
    <row r="55" spans="1:6" x14ac:dyDescent="0.25">
      <c r="A55">
        <v>0.54</v>
      </c>
      <c r="B55" cm="1">
        <f t="array" ref="B55">(1*perfweight)/(0.5*linterp(0,atmos_h,atmos_rho)*((A55*linterp(0,atmos_h,atmos_aspeed))^2)*wingarea)</f>
        <v>5.5119707214292921E-2</v>
      </c>
      <c r="C55">
        <f t="shared" si="0"/>
        <v>2.018836729165014E-2</v>
      </c>
      <c r="D55" cm="1">
        <f t="array" ref="D55">C55*linterp(0,atmos_h,atmos_qms)*(A55^2)*wingarea</f>
        <v>329.64983078779119</v>
      </c>
      <c r="E55" cm="1">
        <f t="array" ref="E55">(((tsl*linterp(0,atmos_h,atmos_dr))-D55)*(A55*linterp(0,atmos_h,atmos_aspeed))*60)/perfweight</f>
        <v>-5130.5734829281446</v>
      </c>
      <c r="F55" cm="1">
        <f t="array" ref="F55">((D55)*(A55*linterp(0,atmos_h,atmos_aspeed))*60)/perfweight</f>
        <v>13249.470602928146</v>
      </c>
    </row>
    <row r="56" spans="1:6" x14ac:dyDescent="0.25">
      <c r="A56">
        <v>0.55000000000000004</v>
      </c>
      <c r="B56" cm="1">
        <f t="array" ref="B56">(1*perfweight)/(0.5*linterp(0,atmos_h,atmos_rho)*((A56*linterp(0,atmos_h,atmos_aspeed))^2)*wingarea)</f>
        <v>5.3133575615496899E-2</v>
      </c>
      <c r="C56">
        <f t="shared" si="0"/>
        <v>2.017503696517664E-2</v>
      </c>
      <c r="D56" cm="1">
        <f t="array" ref="D56">C56*linterp(0,atmos_h,atmos_qms)*(A56^2)*wingarea</f>
        <v>341.74632910815188</v>
      </c>
      <c r="E56" cm="1">
        <f t="array" ref="E56">(((tsl*linterp(0,atmos_h,atmos_dr))-D56)*(A56*linterp(0,atmos_h,atmos_aspeed))*60)/perfweight</f>
        <v>-5720.7768418565329</v>
      </c>
      <c r="F56" cm="1">
        <f t="array" ref="F56">((D56)*(A56*linterp(0,atmos_h,atmos_aspeed))*60)/perfweight</f>
        <v>13990.023908523202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078A3-3F93-47BB-82AE-5D9BC4797CF0}">
  <dimension ref="A1:F56"/>
  <sheetViews>
    <sheetView topLeftCell="A55" workbookViewId="0">
      <selection activeCell="G56" sqref="G56"/>
    </sheetView>
  </sheetViews>
  <sheetFormatPr defaultRowHeight="15" x14ac:dyDescent="0.25"/>
  <cols>
    <col min="1" max="1" width="13.5703125" bestFit="1" customWidth="1"/>
    <col min="2" max="2" width="12.85546875" bestFit="1" customWidth="1"/>
    <col min="3" max="3" width="15" bestFit="1" customWidth="1"/>
    <col min="5" max="5" width="12.85546875" bestFit="1" customWidth="1"/>
  </cols>
  <sheetData>
    <row r="1" spans="1:6" x14ac:dyDescent="0.25">
      <c r="A1" t="s">
        <v>70</v>
      </c>
      <c r="B1" t="s">
        <v>73</v>
      </c>
      <c r="C1" t="s">
        <v>74</v>
      </c>
      <c r="D1" t="s">
        <v>75</v>
      </c>
      <c r="E1" t="s">
        <v>71</v>
      </c>
      <c r="F1" t="s">
        <v>72</v>
      </c>
    </row>
    <row r="2" spans="1:6" x14ac:dyDescent="0.25">
      <c r="A2">
        <v>0.01</v>
      </c>
      <c r="B2" cm="1">
        <f t="array" ref="B2">(1*perfweight)/(0.5*linterp(20000,atmos_h,atmos_rho)*((A2*linterp(20000,atmos_h,atmos_aspeed))^2)*wingarea)</f>
        <v>349.71720377196954</v>
      </c>
      <c r="C2">
        <f>0.02+(0.062*(B2^2))</f>
        <v>7582.7516020732874</v>
      </c>
      <c r="D2" cm="1">
        <f t="array" ref="D2">C2*linterp(20000,atmos_h,atmos_qms)*(A2^2)*wingarea</f>
        <v>19513.634958813844</v>
      </c>
      <c r="E2" cm="1">
        <f t="array" ref="E2">(((tsl*linterp(20000,atmos_h,atmos_dr))-D2)*(A2*linterp(0,atmos_h,atmos_aspeed))*60)/perfweight</f>
        <v>-14444.007104166203</v>
      </c>
      <c r="F2" cm="1">
        <f t="array" ref="F2">((D2)*(A2*linterp(20000,atmos_h,atmos_aspeed))*60)/perfweight</f>
        <v>13488.995301629659</v>
      </c>
    </row>
    <row r="3" spans="1:6" x14ac:dyDescent="0.25">
      <c r="A3">
        <v>0.02</v>
      </c>
      <c r="B3" cm="1">
        <f t="array" ref="B3">(1*perfweight)/(0.5*linterp(20000,atmos_h,atmos_rho)*((A3*linterp(20000,atmos_h,atmos_aspeed))^2)*wingarea)</f>
        <v>87.429300942992384</v>
      </c>
      <c r="C3">
        <f t="shared" ref="C3:C56" si="0">0.02+(0.062*(B3^2))</f>
        <v>473.94072512958041</v>
      </c>
      <c r="D3" cm="1">
        <f t="array" ref="D3">C3*linterp(20000,atmos_h,atmos_qms)*(A3^2)*wingarea</f>
        <v>4878.6017465034611</v>
      </c>
      <c r="E3" cm="1">
        <f t="array" ref="E3">(((tsl*linterp(20000,atmos_h,atmos_dr))-D3)*(A3*linterp(0,atmos_h,atmos_aspeed))*60)/perfweight</f>
        <v>-7102.1086347110049</v>
      </c>
      <c r="F3" cm="1">
        <f t="array" ref="F3">((D3)*(A3*linterp(20000,atmos_h,atmos_aspeed))*60)/perfweight</f>
        <v>6744.7644865759657</v>
      </c>
    </row>
    <row r="4" spans="1:6" x14ac:dyDescent="0.25">
      <c r="A4">
        <v>0.03</v>
      </c>
      <c r="B4" cm="1">
        <f t="array" ref="B4">(1*perfweight)/(0.5*linterp(20000,atmos_h,atmos_rho)*((A4*linterp(20000,atmos_h,atmos_aspeed))^2)*wingarea)</f>
        <v>38.857467085774402</v>
      </c>
      <c r="C4">
        <f t="shared" si="0"/>
        <v>93.633970395966543</v>
      </c>
      <c r="D4" cm="1">
        <f t="array" ref="D4">C4*linterp(20000,atmos_h,atmos_qms)*(A4^2)*wingarea</f>
        <v>2168.6391596904277</v>
      </c>
      <c r="E4" cm="1">
        <f t="array" ref="E4">(((tsl*linterp(20000,atmos_h,atmos_dr))-D4)*(A4*linterp(0,atmos_h,atmos_aspeed))*60)/perfweight</f>
        <v>-4602.0332927199497</v>
      </c>
      <c r="F4" cm="1">
        <f t="array" ref="F4">((D4)*(A4*linterp(20000,atmos_h,atmos_aspeed))*60)/perfweight</f>
        <v>4497.2805165828158</v>
      </c>
    </row>
    <row r="5" spans="1:6" x14ac:dyDescent="0.25">
      <c r="A5">
        <v>0.04</v>
      </c>
      <c r="B5" cm="1">
        <f t="array" ref="B5">(1*perfweight)/(0.5*linterp(20000,atmos_h,atmos_rho)*((A5*linterp(20000,atmos_h,atmos_aspeed))^2)*wingarea)</f>
        <v>21.857325235748096</v>
      </c>
      <c r="C5">
        <f t="shared" si="0"/>
        <v>29.640045320598777</v>
      </c>
      <c r="D5" cm="1">
        <f t="array" ref="D5">C5*linterp(20000,atmos_h,atmos_qms)*(A5^2)*wingarea</f>
        <v>1220.4224638258652</v>
      </c>
      <c r="E5" cm="1">
        <f t="array" ref="E5">(((tsl*linterp(20000,atmos_h,atmos_dr))-D5)*(A5*linterp(0,atmos_h,atmos_aspeed))*60)/perfweight</f>
        <v>-3312.9883575867348</v>
      </c>
      <c r="F5" cm="1">
        <f t="array" ref="F5">((D5)*(A5*linterp(20000,atmos_h,atmos_aspeed))*60)/perfweight</f>
        <v>3374.5169293770705</v>
      </c>
    </row>
    <row r="6" spans="1:6" x14ac:dyDescent="0.25">
      <c r="A6">
        <v>0.05</v>
      </c>
      <c r="B6" cm="1">
        <f t="array" ref="B6">(1*perfweight)/(0.5*linterp(20000,atmos_h,atmos_rho)*((A6*linterp(20000,atmos_h,atmos_aspeed))^2)*wingarea)</f>
        <v>13.988688150878779</v>
      </c>
      <c r="C6">
        <f t="shared" si="0"/>
        <v>12.152370563317254</v>
      </c>
      <c r="D6" cm="1">
        <f t="array" ref="D6">C6*linterp(20000,atmos_h,atmos_qms)*(A6^2)*wingarea</f>
        <v>781.8300516133537</v>
      </c>
      <c r="E6" cm="1">
        <f t="array" ref="E6">(((tsl*linterp(20000,atmos_h,atmos_dr))-D6)*(A6*linterp(0,atmos_h,atmos_aspeed))*60)/perfweight</f>
        <v>-2508.9991651874834</v>
      </c>
      <c r="F6" cm="1">
        <f t="array" ref="F6">((D6)*(A6*linterp(20000,atmos_h,atmos_aspeed))*60)/perfweight</f>
        <v>2702.2392073912351</v>
      </c>
    </row>
    <row r="7" spans="1:6" x14ac:dyDescent="0.25">
      <c r="A7">
        <v>0.06</v>
      </c>
      <c r="B7" cm="1">
        <f t="array" ref="B7">(1*perfweight)/(0.5*linterp(20000,atmos_h,atmos_rho)*((A7*linterp(20000,atmos_h,atmos_aspeed))^2)*wingarea)</f>
        <v>9.7143667714436006</v>
      </c>
      <c r="C7">
        <f t="shared" si="0"/>
        <v>5.8708731497479087</v>
      </c>
      <c r="D7" cm="1">
        <f t="array" ref="D7">C7*linterp(20000,atmos_h,atmos_qms)*(A7^2)*wingarea</f>
        <v>543.89685112260702</v>
      </c>
      <c r="E7" cm="1">
        <f t="array" ref="E7">(((tsl*linterp(20000,atmos_h,atmos_dr))-D7)*(A7*linterp(0,atmos_h,atmos_aspeed))*60)/perfweight</f>
        <v>-1948.2273941453834</v>
      </c>
      <c r="F7" cm="1">
        <f t="array" ref="F7">((D7)*(A7*linterp(20000,atmos_h,atmos_aspeed))*60)/perfweight</f>
        <v>2255.8448238420801</v>
      </c>
    </row>
    <row r="8" spans="1:6" x14ac:dyDescent="0.25">
      <c r="A8">
        <v>7.0000000000000007E-2</v>
      </c>
      <c r="B8" cm="1">
        <f t="array" ref="B8">(1*perfweight)/(0.5*linterp(20000,atmos_h,atmos_rho)*((A8*linterp(20000,atmos_h,atmos_aspeed))^2)*wingarea)</f>
        <v>7.137085791264683</v>
      </c>
      <c r="C8">
        <f t="shared" si="0"/>
        <v>3.1781556026960782</v>
      </c>
      <c r="D8" cm="1">
        <f t="array" ref="D8">C8*linterp(20000,atmos_h,atmos_qms)*(A8^2)*wingarea</f>
        <v>400.75835328191511</v>
      </c>
      <c r="E8" cm="1">
        <f t="array" ref="E8">(((tsl*linterp(20000,atmos_h,atmos_dr))-D8)*(A8*linterp(0,atmos_h,atmos_aspeed))*60)/perfweight</f>
        <v>-1527.1593924399258</v>
      </c>
      <c r="F8" cm="1">
        <f t="array" ref="F8">((D8)*(A8*linterp(20000,atmos_h,atmos_aspeed))*60)/perfweight</f>
        <v>1939.197535027597</v>
      </c>
    </row>
    <row r="9" spans="1:6" x14ac:dyDescent="0.25">
      <c r="A9">
        <v>0.08</v>
      </c>
      <c r="B9" cm="1">
        <f t="array" ref="B9">(1*perfweight)/(0.5*linterp(20000,atmos_h,atmos_rho)*((A9*linterp(20000,atmos_h,atmos_aspeed))^2)*wingarea)</f>
        <v>5.464331308937024</v>
      </c>
      <c r="C9">
        <f t="shared" si="0"/>
        <v>1.8712528325374236</v>
      </c>
      <c r="D9" cm="1">
        <f t="array" ref="D9">C9*linterp(20000,atmos_h,atmos_qms)*(A9^2)*wingarea</f>
        <v>308.19372475646628</v>
      </c>
      <c r="E9" cm="1">
        <f t="array" ref="E9">(((tsl*linterp(20000,atmos_h,atmos_dr))-D9)*(A9*linterp(0,atmos_h,atmos_aspeed))*60)/perfweight</f>
        <v>-1194.153259059223</v>
      </c>
      <c r="F9" cm="1">
        <f t="array" ref="F9">((D9)*(A9*linterp(20000,atmos_h,atmos_aspeed))*60)/perfweight</f>
        <v>1704.3359534012395</v>
      </c>
    </row>
    <row r="10" spans="1:6" x14ac:dyDescent="0.25">
      <c r="A10">
        <v>0.09</v>
      </c>
      <c r="B10" cm="1">
        <f t="array" ref="B10">(1*perfweight)/(0.5*linterp(20000,atmos_h,atmos_rho)*((A10*linterp(20000,atmos_h,atmos_aspeed))^2)*wingarea)</f>
        <v>4.317496342863822</v>
      </c>
      <c r="C10">
        <f t="shared" si="0"/>
        <v>1.1757280295798338</v>
      </c>
      <c r="D10" cm="1">
        <f t="array" ref="D10">C10*linterp(20000,atmos_h,atmos_qms)*(A10^2)*wingarea</f>
        <v>245.07738503226975</v>
      </c>
      <c r="E10" cm="1">
        <f t="array" ref="E10">(((tsl*linterp(20000,atmos_h,atmos_dr))-D10)*(A10*linterp(0,atmos_h,atmos_aspeed))*60)/perfweight</f>
        <v>-920.62120455076706</v>
      </c>
      <c r="F10" cm="1">
        <f t="array" ref="F10">((D10)*(A10*linterp(20000,atmos_h,atmos_aspeed))*60)/perfweight</f>
        <v>1524.7097385966613</v>
      </c>
    </row>
    <row r="11" spans="1:6" x14ac:dyDescent="0.25">
      <c r="A11">
        <v>0.1</v>
      </c>
      <c r="B11" cm="1">
        <f t="array" ref="B11">(1*perfweight)/(0.5*linterp(20000,atmos_h,atmos_rho)*((A11*linterp(20000,atmos_h,atmos_aspeed))^2)*wingarea)</f>
        <v>3.4971720377196949</v>
      </c>
      <c r="C11">
        <f t="shared" si="0"/>
        <v>0.7782731602073284</v>
      </c>
      <c r="D11" cm="1">
        <f t="array" ref="D11">C11*linterp(20000,atmos_h,atmos_qms)*(A11^2)*wingarea</f>
        <v>200.28268290333838</v>
      </c>
      <c r="E11" cm="1">
        <f t="array" ref="E11">(((tsl*linterp(20000,atmos_h,atmos_dr))-D11)*(A11*linterp(0,atmos_h,atmos_aspeed))*60)/perfweight</f>
        <v>-689.50249524174114</v>
      </c>
      <c r="F11" cm="1">
        <f t="array" ref="F11">((D11)*(A11*linterp(20000,atmos_h,atmos_aspeed))*60)/perfweight</f>
        <v>1384.4740738376172</v>
      </c>
    </row>
    <row r="12" spans="1:6" x14ac:dyDescent="0.25">
      <c r="A12">
        <v>0.11</v>
      </c>
      <c r="B12" cm="1">
        <f t="array" ref="B12">(1*perfweight)/(0.5*linterp(20000,atmos_h,atmos_rho)*((A12*linterp(20000,atmos_h,atmos_aspeed))^2)*wingarea)</f>
        <v>2.8902248245617321</v>
      </c>
      <c r="C12">
        <f t="shared" si="0"/>
        <v>0.5379107712637996</v>
      </c>
      <c r="D12" cm="1">
        <f t="array" ref="D12">C12*linterp(20000,atmos_h,atmos_qms)*(A12^2)*wingarea</f>
        <v>167.4969711240814</v>
      </c>
      <c r="E12" cm="1">
        <f t="array" ref="E12">(((tsl*linterp(20000,atmos_h,atmos_dr))-D12)*(A12*linterp(0,atmos_h,atmos_aspeed))*60)/perfweight</f>
        <v>-490.02388243007402</v>
      </c>
      <c r="F12" cm="1">
        <f t="array" ref="F12">((D12)*(A12*linterp(20000,atmos_h,atmos_aspeed))*60)/perfweight</f>
        <v>1273.6235188515577</v>
      </c>
    </row>
    <row r="13" spans="1:6" x14ac:dyDescent="0.25">
      <c r="A13">
        <v>0.12</v>
      </c>
      <c r="B13" cm="1">
        <f t="array" ref="B13">(1*perfweight)/(0.5*linterp(20000,atmos_h,atmos_rho)*((A13*linterp(20000,atmos_h,atmos_aspeed))^2)*wingarea)</f>
        <v>2.4285916928609002</v>
      </c>
      <c r="C13">
        <f t="shared" si="0"/>
        <v>0.38567957185924434</v>
      </c>
      <c r="D13" cm="1">
        <f t="array" ref="D13">C13*linterp(20000,atmos_h,atmos_qms)*(A13^2)*wingarea</f>
        <v>142.92245758065175</v>
      </c>
      <c r="E13" cm="1">
        <f t="array" ref="E13">(((tsl*linterp(20000,atmos_h,atmos_dr))-D13)*(A13*linterp(0,atmos_h,atmos_aspeed))*60)/perfweight</f>
        <v>-315.07981697995558</v>
      </c>
      <c r="F13" cm="1">
        <f t="array" ref="F13">((D13)*(A13*linterp(20000,atmos_h,atmos_aspeed))*60)/perfweight</f>
        <v>1185.558936326416</v>
      </c>
    </row>
    <row r="14" spans="1:6" x14ac:dyDescent="0.25">
      <c r="A14">
        <v>0.13</v>
      </c>
      <c r="B14" cm="1">
        <f t="array" ref="B14">(1*perfweight)/(0.5*linterp(20000,atmos_h,atmos_rho)*((A14*linterp(20000,atmos_h,atmos_aspeed))^2)*wingarea)</f>
        <v>2.0693325666980451</v>
      </c>
      <c r="C14">
        <f t="shared" si="0"/>
        <v>0.28549251083902144</v>
      </c>
      <c r="D14" cm="1">
        <f t="array" ref="D14">C14*linterp(20000,atmos_h,atmos_qms)*(A14^2)*wingarea</f>
        <v>124.16316418706424</v>
      </c>
      <c r="E14" cm="1">
        <f t="array" ref="E14">(((tsl*linterp(20000,atmos_h,atmos_dr))-D14)*(A14*linterp(0,atmos_h,atmos_aspeed))*60)/perfweight</f>
        <v>-159.82179564251101</v>
      </c>
      <c r="F14" cm="1">
        <f t="array" ref="F14">((D14)*(A14*linterp(20000,atmos_h,atmos_aspeed))*60)/perfweight</f>
        <v>1115.7773753873505</v>
      </c>
    </row>
    <row r="15" spans="1:6" x14ac:dyDescent="0.25">
      <c r="A15">
        <v>0.14000000000000001</v>
      </c>
      <c r="B15" cm="1">
        <f t="array" ref="B15">(1*perfweight)/(0.5*linterp(20000,atmos_h,atmos_rho)*((A15*linterp(20000,atmos_h,atmos_aspeed))^2)*wingarea)</f>
        <v>1.7842714478161708</v>
      </c>
      <c r="C15">
        <f t="shared" si="0"/>
        <v>0.21738472516850488</v>
      </c>
      <c r="D15" cm="1">
        <f t="array" ref="D15">C15*linterp(20000,atmos_h,atmos_qms)*(A15^2)*wingarea</f>
        <v>109.64692152047876</v>
      </c>
      <c r="E15" cm="1">
        <f t="array" ref="E15">(((tsl*linterp(20000,atmos_h,atmos_dr))-D15)*(A15*linterp(0,atmos_h,atmos_aspeed))*60)/perfweight</f>
        <v>-20.85227323903456</v>
      </c>
      <c r="F15" cm="1">
        <f t="array" ref="F15">((D15)*(A15*linterp(20000,atmos_h,atmos_aspeed))*60)/perfweight</f>
        <v>1061.1234335834463</v>
      </c>
    </row>
    <row r="16" spans="1:6" x14ac:dyDescent="0.25">
      <c r="A16">
        <v>0.15</v>
      </c>
      <c r="B16" cm="1">
        <f t="array" ref="B16">(1*perfweight)/(0.5*linterp(20000,atmos_h,atmos_rho)*((A16*linterp(20000,atmos_h,atmos_aspeed))^2)*wingarea)</f>
        <v>1.5542986834309762</v>
      </c>
      <c r="C16">
        <f t="shared" si="0"/>
        <v>0.16978235263354646</v>
      </c>
      <c r="D16" cm="1">
        <f t="array" ref="D16">C16*linterp(20000,atmos_h,atmos_qms)*(A16^2)*wingarea</f>
        <v>98.307445734817108</v>
      </c>
      <c r="E16" cm="1">
        <f t="array" ref="E16">(((tsl*linterp(20000,atmos_h,atmos_dr))-D16)*(A16*linterp(0,atmos_h,atmos_aspeed))*60)/perfweight</f>
        <v>104.258990029061</v>
      </c>
      <c r="F16" cm="1">
        <f t="array" ref="F16">((D16)*(A16*linterp(20000,atmos_h,atmos_aspeed))*60)/perfweight</f>
        <v>1019.340074079745</v>
      </c>
    </row>
    <row r="17" spans="1:6" x14ac:dyDescent="0.25">
      <c r="A17">
        <v>0.16</v>
      </c>
      <c r="B17" cm="1">
        <f t="array" ref="B17">(1*perfweight)/(0.5*linterp(20000,atmos_h,atmos_rho)*((A17*linterp(20000,atmos_h,atmos_aspeed))^2)*wingarea)</f>
        <v>1.366082827234256</v>
      </c>
      <c r="C17">
        <f t="shared" si="0"/>
        <v>0.13570330203358896</v>
      </c>
      <c r="D17" cm="1">
        <f t="array" ref="D17">C17*linterp(20000,atmos_h,atmos_qms)*(A17^2)*wingarea</f>
        <v>89.400866389116572</v>
      </c>
      <c r="E17" cm="1">
        <f t="array" ref="E17">(((tsl*linterp(20000,atmos_h,atmos_dr))-D17)*(A17*linterp(0,atmos_h,atmos_aspeed))*60)/perfweight</f>
        <v>217.27721151154049</v>
      </c>
      <c r="F17" cm="1">
        <f t="array" ref="F17">((D17)*(A17*linterp(20000,atmos_h,atmos_aspeed))*60)/perfweight</f>
        <v>988.78788640225173</v>
      </c>
    </row>
    <row r="18" spans="1:6" x14ac:dyDescent="0.25">
      <c r="A18">
        <v>0.17</v>
      </c>
      <c r="B18" cm="1">
        <f t="array" ref="B18">(1*perfweight)/(0.5*linterp(20000,atmos_h,atmos_rho)*((A18*linterp(20000,atmos_h,atmos_aspeed))^2)*wingarea)</f>
        <v>1.2100941306988569</v>
      </c>
      <c r="C18">
        <f t="shared" si="0"/>
        <v>0.11078832391941297</v>
      </c>
      <c r="D18" cm="1">
        <f t="array" ref="D18">C18*linterp(20000,atmos_h,atmos_qms)*(A18^2)*wingarea</f>
        <v>82.395440859563521</v>
      </c>
      <c r="E18" cm="1">
        <f t="array" ref="E18">(((tsl*linterp(20000,atmos_h,atmos_dr))-D18)*(A18*linterp(0,atmos_h,atmos_aspeed))*60)/perfweight</f>
        <v>319.49818094722622</v>
      </c>
      <c r="F18" cm="1">
        <f t="array" ref="F18">((D18)*(A18*linterp(20000,atmos_h,atmos_aspeed))*60)/perfweight</f>
        <v>968.26343162589205</v>
      </c>
    </row>
    <row r="19" spans="1:6" x14ac:dyDescent="0.25">
      <c r="A19">
        <v>0.18</v>
      </c>
      <c r="B19" cm="1">
        <f t="array" ref="B19">(1*perfweight)/(0.5*linterp(20000,atmos_h,atmos_rho)*((A19*linterp(20000,atmos_h,atmos_aspeed))^2)*wingarea)</f>
        <v>1.0793740857159555</v>
      </c>
      <c r="C19">
        <f t="shared" si="0"/>
        <v>9.2233001848739615E-2</v>
      </c>
      <c r="D19" cm="1">
        <f t="array" ref="D19">C19*linterp(20000,atmos_h,atmos_qms)*(A19^2)*wingarea</f>
        <v>76.902897058067424</v>
      </c>
      <c r="E19" cm="1">
        <f t="array" ref="E19">(((tsl*linterp(20000,atmos_h,atmos_dr))-D19)*(A19*linterp(0,atmos_h,atmos_aspeed))*60)/perfweight</f>
        <v>411.87865702260058</v>
      </c>
      <c r="F19" cm="1">
        <f t="array" ref="F19">((D19)*(A19*linterp(20000,atmos_h,atmos_aspeed))*60)/perfweight</f>
        <v>956.87813916647463</v>
      </c>
    </row>
    <row r="20" spans="1:6" x14ac:dyDescent="0.25">
      <c r="A20">
        <v>0.19</v>
      </c>
      <c r="B20" cm="1">
        <f t="array" ref="B20">(1*perfweight)/(0.5*linterp(20000,atmos_h,atmos_rho)*((A20*linterp(20000,atmos_h,atmos_aspeed))^2)*wingarea)</f>
        <v>0.96874571681986044</v>
      </c>
      <c r="C20">
        <f t="shared" si="0"/>
        <v>7.8185032359123163E-2</v>
      </c>
      <c r="D20" cm="1">
        <f t="array" ref="D20">C20*linterp(20000,atmos_h,atmos_qms)*(A20^2)*wingarea</f>
        <v>72.634369175661632</v>
      </c>
      <c r="E20" cm="1">
        <f t="array" ref="E20">(((tsl*linterp(20000,atmos_h,atmos_dr))-D20)*(A20*linterp(0,atmos_h,atmos_aspeed))*60)/perfweight</f>
        <v>495.12558606978382</v>
      </c>
      <c r="F20" cm="1">
        <f t="array" ref="F20">((D20)*(A20*linterp(20000,atmos_h,atmos_aspeed))*60)/perfweight</f>
        <v>953.97544669098943</v>
      </c>
    </row>
    <row r="21" spans="1:6" x14ac:dyDescent="0.25">
      <c r="A21">
        <v>0.2</v>
      </c>
      <c r="B21" cm="1">
        <f t="array" ref="B21">(1*perfweight)/(0.5*linterp(20000,atmos_h,atmos_rho)*((A21*linterp(20000,atmos_h,atmos_aspeed))^2)*wingarea)</f>
        <v>0.87429300942992372</v>
      </c>
      <c r="C21">
        <f t="shared" si="0"/>
        <v>6.7392072512958021E-2</v>
      </c>
      <c r="D21" cm="1">
        <f t="array" ref="D21">C21*linterp(20000,atmos_h,atmos_qms)*(A21^2)*wingarea</f>
        <v>69.371350725834589</v>
      </c>
      <c r="E21" cm="1">
        <f t="array" ref="E21">(((tsl*linterp(20000,atmos_h,atmos_dr))-D21)*(A21*linterp(0,atmos_h,atmos_aspeed))*60)/perfweight</f>
        <v>569.75855515512967</v>
      </c>
      <c r="F21" cm="1">
        <f t="array" ref="F21">((D21)*(A21*linterp(20000,atmos_h,atmos_aspeed))*60)/perfweight</f>
        <v>959.07279805480857</v>
      </c>
    </row>
    <row r="22" spans="1:6" x14ac:dyDescent="0.25">
      <c r="A22">
        <v>0.21</v>
      </c>
      <c r="B22" cm="1">
        <f t="array" ref="B22">(1*perfweight)/(0.5*linterp(20000,atmos_h,atmos_rho)*((A22*linterp(20000,atmos_h,atmos_aspeed))^2)*wingarea)</f>
        <v>0.79300953236274296</v>
      </c>
      <c r="C22">
        <f t="shared" si="0"/>
        <v>5.8989575341926934E-2</v>
      </c>
      <c r="D22" cm="1">
        <f t="array" ref="D22">C22*linterp(20000,atmos_h,atmos_qms)*(A22^2)*wingarea</f>
        <v>66.946088320212809</v>
      </c>
      <c r="E22" cm="1">
        <f t="array" ref="E22">(((tsl*linterp(20000,atmos_h,atmos_dr))-D22)*(A22*linterp(0,atmos_h,atmos_aspeed))*60)/perfweight</f>
        <v>636.15440142821296</v>
      </c>
      <c r="F22" cm="1">
        <f t="array" ref="F22">((D22)*(A22*linterp(20000,atmos_h,atmos_aspeed))*60)/perfweight</f>
        <v>971.8202132568365</v>
      </c>
    </row>
    <row r="23" spans="1:6" x14ac:dyDescent="0.25">
      <c r="A23">
        <v>0.22</v>
      </c>
      <c r="B23" cm="1">
        <f t="array" ref="B23">(1*perfweight)/(0.5*linterp(20000,atmos_h,atmos_rho)*((A23*linterp(20000,atmos_h,atmos_aspeed))^2)*wingarea)</f>
        <v>0.72255620614043303</v>
      </c>
      <c r="C23">
        <f t="shared" si="0"/>
        <v>5.2369423203987478E-2</v>
      </c>
      <c r="D23" cm="1">
        <f t="array" ref="D23">C23*linterp(20000,atmos_h,atmos_qms)*(A23^2)*wingarea</f>
        <v>65.228065581020346</v>
      </c>
      <c r="E23" cm="1">
        <f t="array" ref="E23">(((tsl*linterp(20000,atmos_h,atmos_dr))-D23)*(A23*linterp(0,atmos_h,atmos_aspeed))*60)/perfweight</f>
        <v>694.57965528473915</v>
      </c>
      <c r="F23" cm="1">
        <f t="array" ref="F23">((D23)*(A23*linterp(20000,atmos_h,atmos_aspeed))*60)/perfweight</f>
        <v>991.97015749779496</v>
      </c>
    </row>
    <row r="24" spans="1:6" x14ac:dyDescent="0.25">
      <c r="A24">
        <v>0.23</v>
      </c>
      <c r="B24" cm="1">
        <f t="array" ref="B24">(1*perfweight)/(0.5*linterp(20000,atmos_h,atmos_rho)*((A24*linterp(20000,atmos_h,atmos_aspeed))^2)*wingarea)</f>
        <v>0.66109112244228652</v>
      </c>
      <c r="C24">
        <f t="shared" si="0"/>
        <v>4.7096571274664142E-2</v>
      </c>
      <c r="D24" cm="1">
        <f t="array" ref="D24">C24*linterp(20000,atmos_h,atmos_qms)*(A24^2)*wingarea</f>
        <v>64.114507376207641</v>
      </c>
      <c r="E24" cm="1">
        <f t="array" ref="E24">(((tsl*linterp(20000,atmos_h,atmos_dr))-D24)*(A24*linterp(0,atmos_h,atmos_aspeed))*60)/perfweight</f>
        <v>745.21452009564155</v>
      </c>
      <c r="F24" cm="1">
        <f t="array" ref="F24">((D24)*(A24*linterp(20000,atmos_h,atmos_aspeed))*60)/perfweight</f>
        <v>1019.3552704841779</v>
      </c>
    </row>
    <row r="25" spans="1:6" x14ac:dyDescent="0.25">
      <c r="A25">
        <v>0.24</v>
      </c>
      <c r="B25" cm="1">
        <f t="array" ref="B25">(1*perfweight)/(0.5*linterp(20000,atmos_h,atmos_rho)*((A25*linterp(20000,atmos_h,atmos_aspeed))^2)*wingarea)</f>
        <v>0.60714792321522504</v>
      </c>
      <c r="C25">
        <f t="shared" si="0"/>
        <v>4.2854973241202771E-2</v>
      </c>
      <c r="D25" cm="1">
        <f t="array" ref="D25">C25*linterp(20000,atmos_h,atmos_qms)*(A25^2)*wingarea</f>
        <v>63.523593595162936</v>
      </c>
      <c r="E25" cm="1">
        <f t="array" ref="E25">(((tsl*linterp(20000,atmos_h,atmos_dr))-D25)*(A25*linterp(0,atmos_h,atmos_aspeed))*60)/perfweight</f>
        <v>788.17085700391044</v>
      </c>
      <c r="F25" cm="1">
        <f t="array" ref="F25">((D25)*(A25*linterp(20000,atmos_h,atmos_aspeed))*60)/perfweight</f>
        <v>1053.8716634062159</v>
      </c>
    </row>
    <row r="26" spans="1:6" x14ac:dyDescent="0.25">
      <c r="A26">
        <v>0.25</v>
      </c>
      <c r="B26" cm="1">
        <f t="array" ref="B26">(1*perfweight)/(0.5*linterp(20000,atmos_h,atmos_rho)*((A26*linterp(20000,atmos_h,atmos_aspeed))^2)*wingarea)</f>
        <v>0.55954752603515123</v>
      </c>
      <c r="C26">
        <f t="shared" si="0"/>
        <v>3.9411792901307613E-2</v>
      </c>
      <c r="D26" cm="1">
        <f t="array" ref="D26">C26*linterp(20000,atmos_h,atmos_qms)*(A26^2)*wingarea</f>
        <v>63.389533584534142</v>
      </c>
      <c r="E26" cm="1">
        <f t="array" ref="E26">(((tsl*linterp(20000,atmos_h,atmos_dr))-D26)*(A26*linterp(0,atmos_h,atmos_aspeed))*60)/perfweight</f>
        <v>823.50585337018379</v>
      </c>
      <c r="F26" cm="1">
        <f t="array" ref="F26">((D26)*(A26*linterp(20000,atmos_h,atmos_aspeed))*60)/perfweight</f>
        <v>1095.4662246411267</v>
      </c>
    </row>
    <row r="27" spans="1:6" x14ac:dyDescent="0.25">
      <c r="A27">
        <v>0.26</v>
      </c>
      <c r="B27" cm="1">
        <f t="array" ref="B27">(1*perfweight)/(0.5*linterp(20000,atmos_h,atmos_rho)*((A27*linterp(20000,atmos_h,atmos_aspeed))^2)*wingarea)</f>
        <v>0.51733314167451128</v>
      </c>
      <c r="C27">
        <f t="shared" si="0"/>
        <v>3.6593281927438839E-2</v>
      </c>
      <c r="D27" cm="1">
        <f t="array" ref="D27">C27*linterp(20000,atmos_h,atmos_qms)*(A27^2)*wingarea</f>
        <v>63.658940246766065</v>
      </c>
      <c r="E27" cm="1">
        <f t="array" ref="E27">(((tsl*linterp(20000,atmos_h,atmos_dr))-D27)*(A27*linterp(0,atmos_h,atmos_aspeed))*60)/perfweight</f>
        <v>851.23253696165659</v>
      </c>
      <c r="F27" cm="1">
        <f t="array" ref="F27">((D27)*(A27*linterp(20000,atmos_h,atmos_aspeed))*60)/perfweight</f>
        <v>1144.1268549094673</v>
      </c>
    </row>
    <row r="28" spans="1:6" x14ac:dyDescent="0.25">
      <c r="A28">
        <v>0.27</v>
      </c>
      <c r="B28" cm="1">
        <f t="array" ref="B28">(1*perfweight)/(0.5*linterp(20000,atmos_h,atmos_rho)*((A28*linterp(20000,atmos_h,atmos_aspeed))^2)*wingarea)</f>
        <v>0.47972181587375806</v>
      </c>
      <c r="C28">
        <f t="shared" si="0"/>
        <v>3.4268247278763382E-2</v>
      </c>
      <c r="D28" cm="1">
        <f t="array" ref="D28">C28*linterp(20000,atmos_h,atmos_qms)*(A28^2)*wingarea</f>
        <v>64.2881261591411</v>
      </c>
      <c r="E28" cm="1">
        <f t="array" ref="E28">(((tsl*linterp(20000,atmos_h,atmos_dr))-D28)*(A28*linterp(0,atmos_h,atmos_aspeed))*60)/perfweight</f>
        <v>871.32795365457616</v>
      </c>
      <c r="F28" cm="1">
        <f t="array" ref="F28">((D28)*(A28*linterp(20000,atmos_h,atmos_aspeed))*60)/perfweight</f>
        <v>1199.8748723967328</v>
      </c>
    </row>
    <row r="29" spans="1:6" x14ac:dyDescent="0.25">
      <c r="A29">
        <v>0.28000000000000003</v>
      </c>
      <c r="B29" cm="1">
        <f t="array" ref="B29">(1*perfweight)/(0.5*linterp(20000,atmos_h,atmos_rho)*((A29*linterp(20000,atmos_h,atmos_aspeed))^2)*wingarea)</f>
        <v>0.44606786195404269</v>
      </c>
      <c r="C29">
        <f t="shared" si="0"/>
        <v>3.2336545323031554E-2</v>
      </c>
      <c r="D29" cm="1">
        <f t="array" ref="D29">C29*linterp(20000,atmos_h,atmos_qms)*(A29^2)*wingarea</f>
        <v>65.241063180119681</v>
      </c>
      <c r="E29" cm="1">
        <f t="array" ref="E29">(((tsl*linterp(20000,atmos_h,atmos_dr))-D29)*(A29*linterp(0,atmos_h,atmos_aspeed))*60)/perfweight</f>
        <v>883.73959277190704</v>
      </c>
      <c r="F29" cm="1">
        <f t="array" ref="F29">((D29)*(A29*linterp(20000,atmos_h,atmos_aspeed))*60)/perfweight</f>
        <v>1262.7590453489072</v>
      </c>
    </row>
    <row r="30" spans="1:6" x14ac:dyDescent="0.25">
      <c r="A30">
        <v>0.28999999999999998</v>
      </c>
      <c r="B30" cm="1">
        <f t="array" ref="B30">(1*perfweight)/(0.5*linterp(20000,atmos_h,atmos_rho)*((A30*linterp(20000,atmos_h,atmos_aspeed))^2)*wingarea)</f>
        <v>0.41583496286797816</v>
      </c>
      <c r="C30">
        <f t="shared" si="0"/>
        <v>3.0720960413291594E-2</v>
      </c>
      <c r="D30" cm="1">
        <f t="array" ref="D30">C30*linterp(20000,atmos_h,atmos_qms)*(A30^2)*wingarea</f>
        <v>66.487825794546779</v>
      </c>
      <c r="E30" cm="1">
        <f t="array" ref="E30">(((tsl*linterp(20000,atmos_h,atmos_dr))-D30)*(A30*linterp(0,atmos_h,atmos_aspeed))*60)/perfweight</f>
        <v>888.39048304079256</v>
      </c>
      <c r="F30" cm="1">
        <f t="array" ref="F30">((D30)*(A30*linterp(20000,atmos_h,atmos_aspeed))*60)/perfweight</f>
        <v>1332.8508593034137</v>
      </c>
    </row>
    <row r="31" spans="1:6" x14ac:dyDescent="0.25">
      <c r="A31">
        <v>0.3</v>
      </c>
      <c r="B31" cm="1">
        <f t="array" ref="B31">(1*perfweight)/(0.5*linterp(20000,atmos_h,atmos_rho)*((A31*linterp(20000,atmos_h,atmos_aspeed))^2)*wingarea)</f>
        <v>0.38857467085774405</v>
      </c>
      <c r="C31">
        <f t="shared" si="0"/>
        <v>2.9361397039596657E-2</v>
      </c>
      <c r="D31" cm="1">
        <f t="array" ref="D31">C31*linterp(20000,atmos_h,atmos_qms)*(A31^2)*wingarea</f>
        <v>68.003391433704266</v>
      </c>
      <c r="E31" cm="1">
        <f t="array" ref="E31">(((tsl*linterp(20000,atmos_h,atmos_dr))-D31)*(A31*linterp(0,atmos_h,atmos_aspeed))*60)/perfweight</f>
        <v>885.18326935853088</v>
      </c>
      <c r="F31" cm="1">
        <f t="array" ref="F31">((D31)*(A31*linterp(20000,atmos_h,atmos_aspeed))*60)/perfweight</f>
        <v>1410.2407308738725</v>
      </c>
    </row>
    <row r="32" spans="1:6" x14ac:dyDescent="0.25">
      <c r="A32">
        <v>0.31</v>
      </c>
      <c r="B32" cm="1">
        <f t="array" ref="B32">(1*perfweight)/(0.5*linterp(20000,atmos_h,atmos_rho)*((A32*linterp(20000,atmos_h,atmos_aspeed))^2)*wingarea)</f>
        <v>0.36390968134440138</v>
      </c>
      <c r="C32">
        <f t="shared" si="0"/>
        <v>2.8210675882923392E-2</v>
      </c>
      <c r="D32" cm="1">
        <f t="array" ref="D32">C32*linterp(20000,atmos_h,atmos_qms)*(A32^2)*wingarea</f>
        <v>69.766707188776124</v>
      </c>
      <c r="E32" cm="1">
        <f t="array" ref="E32">(((tsl*linterp(20000,atmos_h,atmos_dr))-D32)*(A32*linterp(0,atmos_h,atmos_aspeed))*60)/perfweight</f>
        <v>874.00350050705958</v>
      </c>
      <c r="F32" cm="1">
        <f t="array" ref="F32">((D32)*(A32*linterp(20000,atmos_h,atmos_aspeed))*60)/perfweight</f>
        <v>1495.0349543507148</v>
      </c>
    </row>
    <row r="33" spans="1:6" x14ac:dyDescent="0.25">
      <c r="A33">
        <v>0.32</v>
      </c>
      <c r="B33" cm="1">
        <f t="array" ref="B33">(1*perfweight)/(0.5*linterp(20000,atmos_h,atmos_rho)*((A33*linterp(20000,atmos_h,atmos_aspeed))^2)*wingarea)</f>
        <v>0.341520706808564</v>
      </c>
      <c r="C33">
        <f t="shared" si="0"/>
        <v>2.7231456377099311E-2</v>
      </c>
      <c r="D33" cm="1">
        <f t="array" ref="D33">C33*linterp(20000,atmos_h,atmos_qms)*(A33^2)*wingarea</f>
        <v>71.759957397279138</v>
      </c>
      <c r="E33" cm="1">
        <f t="array" ref="E33">(((tsl*linterp(20000,atmos_h,atmos_dr))-D33)*(A33*linterp(0,atmos_h,atmos_aspeed))*60)/perfweight</f>
        <v>854.72230042098647</v>
      </c>
      <c r="F33" cm="1">
        <f t="array" ref="F33">((D33)*(A33*linterp(20000,atmos_h,atmos_aspeed))*60)/perfweight</f>
        <v>1587.3532208141819</v>
      </c>
    </row>
    <row r="34" spans="1:6" x14ac:dyDescent="0.25">
      <c r="A34">
        <v>0.33</v>
      </c>
      <c r="B34" cm="1">
        <f t="array" ref="B34">(1*perfweight)/(0.5*linterp(20000,atmos_h,atmos_rho)*((A34*linterp(20000,atmos_h,atmos_aspeed))^2)*wingarea)</f>
        <v>0.32113609161797024</v>
      </c>
      <c r="C34">
        <f t="shared" si="0"/>
        <v>2.6393960139059255E-2</v>
      </c>
      <c r="D34" cm="1">
        <f t="array" ref="D34">C34*linterp(20000,atmos_h,atmos_qms)*(A34^2)*wingarea</f>
        <v>73.967984169342373</v>
      </c>
      <c r="E34" cm="1">
        <f t="array" ref="E34">(((tsl*linterp(20000,atmos_h,atmos_dr))-D34)*(A34*linterp(0,atmos_h,atmos_aspeed))*60)/perfweight</f>
        <v>827.1985537705126</v>
      </c>
      <c r="F34" cm="1">
        <f t="array" ref="F34">((D34)*(A34*linterp(20000,atmos_h,atmos_aspeed))*60)/perfweight</f>
        <v>1687.3265883176875</v>
      </c>
    </row>
    <row r="35" spans="1:6" x14ac:dyDescent="0.25">
      <c r="A35">
        <v>0.34</v>
      </c>
      <c r="B35" cm="1">
        <f t="array" ref="B35">(1*perfweight)/(0.5*linterp(20000,atmos_h,atmos_rho)*((A35*linterp(20000,atmos_h,atmos_aspeed))^2)*wingarea)</f>
        <v>0.30252353267471421</v>
      </c>
      <c r="C35">
        <f t="shared" si="0"/>
        <v>2.5674270244963313E-2</v>
      </c>
      <c r="D35" cm="1">
        <f t="array" ref="D35">C35*linterp(20000,atmos_h,atmos_qms)*(A35^2)*wingarea</f>
        <v>76.377825414890893</v>
      </c>
      <c r="E35" cm="1">
        <f t="array" ref="E35">(((tsl*linterp(20000,atmos_h,atmos_dr))-D35)*(A35*linterp(0,atmos_h,atmos_aspeed))*60)/perfweight</f>
        <v>791.280705853261</v>
      </c>
      <c r="F35" cm="1">
        <f t="array" ref="F35">((D35)*(A35*linterp(20000,atmos_h,atmos_aspeed))*60)/perfweight</f>
        <v>1795.0958102741145</v>
      </c>
    </row>
    <row r="36" spans="1:6" x14ac:dyDescent="0.25">
      <c r="A36">
        <v>0.35</v>
      </c>
      <c r="B36" cm="1">
        <f t="array" ref="B36">(1*perfweight)/(0.5*linterp(20000,atmos_h,atmos_rho)*((A36*linterp(20000,atmos_h,atmos_aspeed))^2)*wingarea)</f>
        <v>0.28548343165058748</v>
      </c>
      <c r="C36">
        <f t="shared" si="0"/>
        <v>2.5053048964313731E-2</v>
      </c>
      <c r="D36" cm="1">
        <f t="array" ref="D36">C36*linterp(20000,atmos_h,atmos_qms)*(A36^2)*wingarea</f>
        <v>78.978343910476596</v>
      </c>
      <c r="E36" cm="1">
        <f t="array" ref="E36">(((tsl*linterp(20000,atmos_h,atmos_dr))-D36)*(A36*linterp(0,atmos_h,atmos_aspeed))*60)/perfweight</f>
        <v>746.8082539332172</v>
      </c>
      <c r="F36" cm="1">
        <f t="array" ref="F36">((D36)*(A36*linterp(20000,atmos_h,atmos_aspeed))*60)/perfweight</f>
        <v>1910.8099504044617</v>
      </c>
    </row>
    <row r="37" spans="1:6" x14ac:dyDescent="0.25">
      <c r="A37">
        <v>0.36</v>
      </c>
      <c r="B37" cm="1">
        <f t="array" ref="B37">(1*perfweight)/(0.5*linterp(20000,atmos_h,atmos_rho)*((A37*linterp(20000,atmos_h,atmos_aspeed))^2)*wingarea)</f>
        <v>0.26984352142898888</v>
      </c>
      <c r="C37">
        <f t="shared" si="0"/>
        <v>2.4514562615546225E-2</v>
      </c>
      <c r="D37" cm="1">
        <f t="array" ref="D37">C37*linterp(20000,atmos_h,atmos_qms)*(A37^2)*wingarea</f>
        <v>81.759927464516835</v>
      </c>
      <c r="E37" cm="1">
        <f t="array" ref="E37">(((tsl*linterp(20000,atmos_h,atmos_dr))-D37)*(A37*linterp(0,atmos_h,atmos_aspeed))*60)/perfweight</f>
        <v>693.61299002317298</v>
      </c>
      <c r="F37" cm="1">
        <f t="array" ref="F37">((D37)*(A37*linterp(20000,atmos_h,atmos_aspeed))*60)/perfweight</f>
        <v>2034.625228528389</v>
      </c>
    </row>
    <row r="38" spans="1:6" x14ac:dyDescent="0.25">
      <c r="A38">
        <v>0.37</v>
      </c>
      <c r="B38" cm="1">
        <f t="array" ref="B38">(1*perfweight)/(0.5*linterp(20000,atmos_h,atmos_rho)*((A38*linterp(20000,atmos_h,atmos_aspeed))^2)*wingarea)</f>
        <v>0.2554544950854416</v>
      </c>
      <c r="C38">
        <f t="shared" si="0"/>
        <v>2.4045933941680191E-2</v>
      </c>
      <c r="D38" cm="1">
        <f t="array" ref="D38">C38*linterp(20000,atmos_h,atmos_qms)*(A38^2)*wingarea</f>
        <v>84.714245022362178</v>
      </c>
      <c r="E38" cm="1">
        <f t="array" ref="E38">(((tsl*linterp(20000,atmos_h,atmos_dr))-D38)*(A38*linterp(0,atmos_h,atmos_aspeed))*60)/perfweight</f>
        <v>631.52004213489386</v>
      </c>
      <c r="F38" cm="1">
        <f t="array" ref="F38">((D38)*(A38*linterp(20000,atmos_h,atmos_aspeed))*60)/perfweight</f>
        <v>2166.7040535238493</v>
      </c>
    </row>
    <row r="39" spans="1:6" x14ac:dyDescent="0.25">
      <c r="A39">
        <v>0.38</v>
      </c>
      <c r="B39" cm="1">
        <f t="array" ref="B39">(1*perfweight)/(0.5*linterp(20000,atmos_h,atmos_rho)*((A39*linterp(20000,atmos_h,atmos_aspeed))^2)*wingarea)</f>
        <v>0.24218642920496511</v>
      </c>
      <c r="C39">
        <f t="shared" si="0"/>
        <v>2.3636564522445197E-2</v>
      </c>
      <c r="D39" cm="1">
        <f t="array" ref="D39">C39*linterp(20000,atmos_h,atmos_qms)*(A39^2)*wingarea</f>
        <v>87.834047093915387</v>
      </c>
      <c r="E39" cm="1">
        <f t="array" ref="E39">(((tsl*linterp(20000,atmos_h,atmos_dr))-D39)*(A39*linterp(0,atmos_h,atmos_aspeed))*60)/perfweight</f>
        <v>560.34875112135671</v>
      </c>
      <c r="F39" cm="1">
        <f t="array" ref="F39">((D39)*(A39*linterp(20000,atmos_h,atmos_aspeed))*60)/perfweight</f>
        <v>2307.2142089773183</v>
      </c>
    </row>
    <row r="40" spans="1:6" x14ac:dyDescent="0.25">
      <c r="A40">
        <v>0.39</v>
      </c>
      <c r="B40" cm="1">
        <f t="array" ref="B40">(1*perfweight)/(0.5*linterp(20000,atmos_h,atmos_rho)*((A40*linterp(20000,atmos_h,atmos_aspeed))^2)*wingarea)</f>
        <v>0.2299258407442272</v>
      </c>
      <c r="C40">
        <f t="shared" si="0"/>
        <v>2.3277685319000263E-2</v>
      </c>
      <c r="D40" cm="1">
        <f t="array" ref="D40">C40*linterp(20000,atmos_h,atmos_qms)*(A40^2)*wingarea</f>
        <v>91.113001531896003</v>
      </c>
      <c r="E40" cm="1">
        <f t="array" ref="E40">(((tsl*linterp(20000,atmos_h,atmos_dr))-D40)*(A40*linterp(0,atmos_h,atmos_aspeed))*60)/perfweight</f>
        <v>479.91341262018437</v>
      </c>
      <c r="F40" cm="1">
        <f t="array" ref="F40">((D40)*(A40*linterp(20000,atmos_h,atmos_aspeed))*60)/perfweight</f>
        <v>2456.328164118599</v>
      </c>
    </row>
    <row r="41" spans="1:6" x14ac:dyDescent="0.25">
      <c r="A41">
        <v>0.4</v>
      </c>
      <c r="B41" cm="1">
        <f t="array" ref="B41">(1*perfweight)/(0.5*linterp(20000,atmos_h,atmos_rho)*((A41*linterp(20000,atmos_h,atmos_aspeed))^2)*wingarea)</f>
        <v>0.21857325235748093</v>
      </c>
      <c r="C41">
        <f t="shared" si="0"/>
        <v>2.2962004532059876E-2</v>
      </c>
      <c r="D41" cm="1">
        <f t="array" ref="D41">C41*linterp(20000,atmos_h,atmos_qms)*(A41^2)*wingarea</f>
        <v>94.545557681458646</v>
      </c>
      <c r="E41" cm="1">
        <f t="array" ref="E41">(((tsl*linterp(20000,atmos_h,atmos_dr))-D41)*(A41*linterp(0,atmos_h,atmos_aspeed))*60)/perfweight</f>
        <v>390.02390770556508</v>
      </c>
      <c r="F41" cm="1">
        <f t="array" ref="F41">((D41)*(A41*linterp(20000,atmos_h,atmos_aspeed))*60)/perfweight</f>
        <v>2614.2224881154052</v>
      </c>
    </row>
    <row r="42" spans="1:6" x14ac:dyDescent="0.25">
      <c r="A42">
        <v>0.41</v>
      </c>
      <c r="B42" cm="1">
        <f t="array" ref="B42">(1*perfweight)/(0.5*linterp(20000,atmos_h,atmos_rho)*((A42*linterp(20000,atmos_h,atmos_aspeed))^2)*wingarea)</f>
        <v>0.20804116821651969</v>
      </c>
      <c r="C42">
        <f t="shared" si="0"/>
        <v>2.2683429915719443E-2</v>
      </c>
      <c r="D42" cm="1">
        <f t="array" ref="D42">C42*linterp(20000,atmos_h,atmos_qms)*(A42^2)*wingarea</f>
        <v>98.12683343463047</v>
      </c>
      <c r="E42" cm="1">
        <f t="array" ref="E42">(((tsl*linterp(20000,atmos_h,atmos_dr))-D42)*(A42*linterp(0,atmos_h,atmos_aspeed))*60)/perfweight</f>
        <v>290.48624124964766</v>
      </c>
      <c r="F42" cm="1">
        <f t="array" ref="F42">((D42)*(A42*linterp(20000,atmos_h,atmos_aspeed))*60)/perfweight</f>
        <v>2781.0773500809291</v>
      </c>
    </row>
    <row r="43" spans="1:6" x14ac:dyDescent="0.25">
      <c r="A43">
        <v>0.42</v>
      </c>
      <c r="B43" cm="1">
        <f t="array" ref="B43">(1*perfweight)/(0.5*linterp(20000,atmos_h,atmos_rho)*((A43*linterp(20000,atmos_h,atmos_aspeed))^2)*wingarea)</f>
        <v>0.19825238309068574</v>
      </c>
      <c r="C43">
        <f t="shared" si="0"/>
        <v>2.2436848458870434E-2</v>
      </c>
      <c r="D43" cm="1">
        <f t="array" ref="D43">C43*linterp(20000,atmos_h,atmos_qms)*(A43^2)*wingarea</f>
        <v>101.85252088005318</v>
      </c>
      <c r="E43" cm="1">
        <f t="array" ref="E43">(((tsl*linterp(20000,atmos_h,atmos_dr))-D43)*(A43*linterp(0,atmos_h,atmos_aspeed))*60)/perfweight</f>
        <v>181.1030033751635</v>
      </c>
      <c r="F43" cm="1">
        <f t="array" ref="F43">((D43)*(A43*linterp(20000,atmos_h,atmos_aspeed))*60)/perfweight</f>
        <v>2957.0760905089137</v>
      </c>
    </row>
    <row r="44" spans="1:6" x14ac:dyDescent="0.25">
      <c r="A44">
        <v>0.43</v>
      </c>
      <c r="B44" cm="1">
        <f t="array" ref="B44">(1*perfweight)/(0.5*linterp(20000,atmos_h,atmos_rho)*((A44*linterp(20000,atmos_h,atmos_aspeed))^2)*wingarea)</f>
        <v>0.18913856342453739</v>
      </c>
      <c r="C44">
        <f t="shared" si="0"/>
        <v>2.2217950562806461E-2</v>
      </c>
      <c r="D44" cm="1">
        <f t="array" ref="D44">C44*linterp(20000,atmos_h,atmos_qms)*(A44^2)*wingarea</f>
        <v>105.7188071296992</v>
      </c>
      <c r="E44" cm="1">
        <f t="array" ref="E44">(((tsl*linterp(20000,atmos_h,atmos_dr))-D44)*(A44*linterp(0,atmos_h,atmos_aspeed))*60)/perfweight</f>
        <v>61.673766519313148</v>
      </c>
      <c r="F44" cm="1">
        <f t="array" ref="F44">((D44)*(A44*linterp(20000,atmos_h,atmos_aspeed))*60)/perfweight</f>
        <v>3142.4048525084627</v>
      </c>
    </row>
    <row r="45" spans="1:6" x14ac:dyDescent="0.25">
      <c r="A45">
        <v>0.44</v>
      </c>
      <c r="B45" cm="1">
        <f t="array" ref="B45">(1*perfweight)/(0.5*linterp(20000,atmos_h,atmos_rho)*((A45*linterp(20000,atmos_h,atmos_aspeed))^2)*wingarea)</f>
        <v>0.18063905153510826</v>
      </c>
      <c r="C45">
        <f t="shared" si="0"/>
        <v>2.2023088950249216E-2</v>
      </c>
      <c r="D45" cm="1">
        <f t="array" ref="D45">C45*linterp(20000,atmos_h,atmos_qms)*(A45^2)*wingarea</f>
        <v>109.72230759525506</v>
      </c>
      <c r="E45" cm="1">
        <f t="array" ref="E45">(((tsl*linterp(20000,atmos_h,atmos_dr))-D45)*(A45*linterp(0,atmos_h,atmos_aspeed))*60)/perfweight</f>
        <v>-68.004571647421358</v>
      </c>
      <c r="F45" cm="1">
        <f t="array" ref="F45">((D45)*(A45*linterp(20000,atmos_h,atmos_aspeed))*60)/perfweight</f>
        <v>3337.2522633250251</v>
      </c>
    </row>
    <row r="46" spans="1:6" x14ac:dyDescent="0.25">
      <c r="A46">
        <v>0.45</v>
      </c>
      <c r="B46" cm="1">
        <f t="array" ref="B46">(1*perfweight)/(0.5*linterp(20000,atmos_h,atmos_rho)*((A46*linterp(20000,atmos_h,atmos_aspeed))^2)*wingarea)</f>
        <v>0.17269985371455288</v>
      </c>
      <c r="C46">
        <f t="shared" si="0"/>
        <v>2.1849164847327733E-2</v>
      </c>
      <c r="D46" cm="1">
        <f t="array" ref="D46">C46*linterp(20000,atmos_h,atmos_qms)*(A46^2)*wingarea</f>
        <v>113.86000952609078</v>
      </c>
      <c r="E46" cm="1">
        <f t="array" ref="E46">(((tsl*linterp(20000,atmos_h,atmos_dr))-D46)*(A46*linterp(0,atmos_h,atmos_aspeed))*60)/perfweight</f>
        <v>-208.13749102497903</v>
      </c>
      <c r="F46" cm="1">
        <f t="array" ref="F46">((D46)*(A46*linterp(20000,atmos_h,atmos_aspeed))*60)/perfweight</f>
        <v>3541.8091583252485</v>
      </c>
    </row>
    <row r="47" spans="1:6" x14ac:dyDescent="0.25">
      <c r="A47">
        <v>0.46</v>
      </c>
      <c r="B47" cm="1">
        <f t="array" ref="B47">(1*perfweight)/(0.5*linterp(20000,atmos_h,atmos_rho)*((A47*linterp(20000,atmos_h,atmos_aspeed))^2)*wingarea)</f>
        <v>0.16527278061057163</v>
      </c>
      <c r="C47">
        <f t="shared" si="0"/>
        <v>2.1693535704666509E-2</v>
      </c>
      <c r="D47" cm="1">
        <f t="array" ref="D47">C47*linterp(20000,atmos_h,atmos_qms)*(A47^2)*wingarea</f>
        <v>118.12922404405191</v>
      </c>
      <c r="E47" cm="1">
        <f t="array" ref="E47">(((tsl*linterp(20000,atmos_h,atmos_dr))-D47)*(A47*linterp(0,atmos_h,atmos_aspeed))*60)/perfweight</f>
        <v>-358.93259065214704</v>
      </c>
      <c r="F47" cm="1">
        <f t="array" ref="F47">((D47)*(A47*linterp(20000,atmos_h,atmos_aspeed))*60)/perfweight</f>
        <v>3756.2683409838014</v>
      </c>
    </row>
    <row r="48" spans="1:6" x14ac:dyDescent="0.25">
      <c r="A48">
        <v>0.47</v>
      </c>
      <c r="B48" cm="1">
        <f t="array" ref="B48">(1*perfweight)/(0.5*linterp(20000,atmos_h,atmos_rho)*((A48*linterp(20000,atmos_h,atmos_aspeed))^2)*wingarea)</f>
        <v>0.1583147142471569</v>
      </c>
      <c r="C48">
        <f t="shared" si="0"/>
        <v>2.1553940022323855E-2</v>
      </c>
      <c r="D48" cm="1">
        <f t="array" ref="D48">C48*linterp(20000,atmos_h,atmos_qms)*(A48^2)*wingarea</f>
        <v>122.52754524455128</v>
      </c>
      <c r="E48" cm="1">
        <f t="array" ref="E48">(((tsl*linterp(20000,atmos_h,atmos_dr))-D48)*(A48*linterp(0,atmos_h,atmos_aspeed))*60)/perfweight</f>
        <v>-520.59936326626018</v>
      </c>
      <c r="F48" cm="1">
        <f t="array" ref="F48">((D48)*(A48*linterp(20000,atmos_h,atmos_aspeed))*60)/perfweight</f>
        <v>3980.8243735101805</v>
      </c>
    </row>
    <row r="49" spans="1:6" x14ac:dyDescent="0.25">
      <c r="A49">
        <v>0.48</v>
      </c>
      <c r="B49" cm="1">
        <f t="array" ref="B49">(1*perfweight)/(0.5*linterp(20000,atmos_h,atmos_rho)*((A49*linterp(20000,atmos_h,atmos_aspeed))^2)*wingarea)</f>
        <v>0.15178698080380626</v>
      </c>
      <c r="C49">
        <f t="shared" si="0"/>
        <v>2.1428435827575174E-2</v>
      </c>
      <c r="D49" cm="1">
        <f t="array" ref="D49">C49*linterp(20000,atmos_h,atmos_qms)*(A49^2)*wingarea</f>
        <v>127.05281519879071</v>
      </c>
      <c r="E49" cm="1">
        <f t="array" ref="E49">(((tsl*linterp(20000,atmos_h,atmos_dr))-D49)*(A49*linterp(0,atmos_h,atmos_aspeed))*60)/perfweight</f>
        <v>-693.3489980429398</v>
      </c>
      <c r="F49" cm="1">
        <f t="array" ref="F49">((D49)*(A49*linterp(20000,atmos_h,atmos_aspeed))*60)/perfweight</f>
        <v>4215.6733936471719</v>
      </c>
    </row>
    <row r="50" spans="1:6" x14ac:dyDescent="0.25">
      <c r="A50">
        <v>0.49</v>
      </c>
      <c r="B50" cm="1">
        <f t="array" ref="B50">(1*perfweight)/(0.5*linterp(20000,atmos_h,atmos_rho)*((A50*linterp(20000,atmos_h,atmos_aspeed))^2)*wingarea)</f>
        <v>0.14565481206662623</v>
      </c>
      <c r="C50">
        <f t="shared" si="0"/>
        <v>2.131535010524618E-2</v>
      </c>
      <c r="D50" cm="1">
        <f t="array" ref="D50">C50*linterp(20000,atmos_h,atmos_qms)*(A50^2)*wingarea</f>
        <v>131.70309390371253</v>
      </c>
      <c r="E50" cm="1">
        <f t="array" ref="E50">(((tsl*linterp(20000,atmos_h,atmos_dr))-D50)*(A50*linterp(0,atmos_h,atmos_aspeed))*60)/perfweight</f>
        <v>-877.39420749013664</v>
      </c>
      <c r="F50" cm="1">
        <f t="array" ref="F50">((D50)*(A50*linterp(20000,atmos_h,atmos_aspeed))*60)/perfweight</f>
        <v>4461.0129539021355</v>
      </c>
    </row>
    <row r="51" spans="1:6" x14ac:dyDescent="0.25">
      <c r="A51">
        <v>0.5</v>
      </c>
      <c r="B51" cm="1">
        <f t="array" ref="B51">(1*perfweight)/(0.5*linterp(20000,atmos_h,atmos_rho)*((A51*linterp(20000,atmos_h,atmos_aspeed))^2)*wingarea)</f>
        <v>0.13988688150878781</v>
      </c>
      <c r="C51">
        <f t="shared" si="0"/>
        <v>2.1213237056331727E-2</v>
      </c>
      <c r="D51" cm="1">
        <f t="array" ref="D51">C51*linterp(20000,atmos_h,atmos_qms)*(A51^2)*wingarea</f>
        <v>136.47663339613354</v>
      </c>
      <c r="E51" cm="1">
        <f t="array" ref="E51">(((tsl*linterp(20000,atmos_h,atmos_dr))-D51)*(A51*linterp(0,atmos_h,atmos_aspeed))*60)/perfweight</f>
        <v>-1072.9490751149081</v>
      </c>
      <c r="F51" cm="1">
        <f t="array" ref="F51">((D51)*(A51*linterp(20000,atmos_h,atmos_aspeed))*60)/perfweight</f>
        <v>4717.0418800705638</v>
      </c>
    </row>
    <row r="52" spans="1:6" x14ac:dyDescent="0.25">
      <c r="A52">
        <v>0.51</v>
      </c>
      <c r="B52" cm="1">
        <f t="array" ref="B52">(1*perfweight)/(0.5*linterp(20000,atmos_h,atmos_rho)*((A52*linterp(20000,atmos_h,atmos_aspeed))^2)*wingarea)</f>
        <v>0.13445490341098407</v>
      </c>
      <c r="C52">
        <f t="shared" si="0"/>
        <v>2.1120843505177938E-2</v>
      </c>
      <c r="D52" cm="1">
        <f t="array" ref="D52">C52*linterp(20000,atmos_h,atmos_qms)*(A52^2)*wingarea</f>
        <v>141.37185538439593</v>
      </c>
      <c r="E52" cm="1">
        <f t="array" ref="E52">(((tsl*linterp(20000,atmos_h,atmos_dr))-D52)*(A52*linterp(0,atmos_h,atmos_aspeed))*60)/perfweight</f>
        <v>-1280.228921011731</v>
      </c>
      <c r="F52" cm="1">
        <f t="array" ref="F52">((D52)*(A52*linterp(20000,atmos_h,atmos_aspeed))*60)/perfweight</f>
        <v>4983.9601464038942</v>
      </c>
    </row>
    <row r="53" spans="1:6" x14ac:dyDescent="0.25">
      <c r="A53">
        <v>0.52</v>
      </c>
      <c r="B53" cm="1">
        <f t="array" ref="B53">(1*perfweight)/(0.5*linterp(20000,atmos_h,atmos_rho)*((A53*linterp(20000,atmos_h,atmos_aspeed))^2)*wingarea)</f>
        <v>0.12933328541862782</v>
      </c>
      <c r="C53">
        <f t="shared" si="0"/>
        <v>2.1037080120464929E-2</v>
      </c>
      <c r="D53" cm="1">
        <f t="array" ref="D53">C53*linterp(20000,atmos_h,atmos_qms)*(A53^2)*wingarea</f>
        <v>146.38733186169154</v>
      </c>
      <c r="E53" cm="1">
        <f t="array" ref="E53">(((tsl*linterp(20000,atmos_h,atmos_dr))-D53)*(A53*linterp(0,atmos_h,atmos_aspeed))*60)/perfweight</f>
        <v>-1499.4501829598764</v>
      </c>
      <c r="F53" cm="1">
        <f t="array" ref="F53">((D53)*(A53*linterp(20000,atmos_h,atmos_aspeed))*60)/perfweight</f>
        <v>5261.9687651810709</v>
      </c>
    </row>
    <row r="54" spans="1:6" x14ac:dyDescent="0.25">
      <c r="A54">
        <v>0.53</v>
      </c>
      <c r="B54" cm="1">
        <f t="array" ref="B54">(1*perfweight)/(0.5*linterp(20000,atmos_h,atmos_rho)*((A54*linterp(20000,atmos_h,atmos_aspeed))^2)*wingarea)</f>
        <v>0.12449882654751494</v>
      </c>
      <c r="C54">
        <f t="shared" si="0"/>
        <v>2.096099738432591E-2</v>
      </c>
      <c r="D54" cm="1">
        <f t="array" ref="D54">C54*linterp(20000,atmos_h,atmos_qms)*(A54^2)*wingarea</f>
        <v>151.52176825532712</v>
      </c>
      <c r="E54" cm="1">
        <f t="array" ref="E54">(((tsl*linterp(20000,atmos_h,atmos_dr))-D54)*(A54*linterp(0,atmos_h,atmos_aspeed))*60)/perfweight</f>
        <v>-1730.8303109814356</v>
      </c>
      <c r="F54" cm="1">
        <f t="array" ref="F54">((D54)*(A54*linterp(20000,atmos_h,atmos_aspeed))*60)/perfweight</f>
        <v>5551.2696887814045</v>
      </c>
    </row>
    <row r="55" spans="1:6" x14ac:dyDescent="0.25">
      <c r="A55">
        <v>0.54</v>
      </c>
      <c r="B55" cm="1">
        <f t="array" ref="B55">(1*perfweight)/(0.5*linterp(20000,atmos_h,atmos_rho)*((A55*linterp(20000,atmos_h,atmos_aspeed))^2)*wingarea)</f>
        <v>0.11993045396843952</v>
      </c>
      <c r="C55">
        <f t="shared" si="0"/>
        <v>2.089176545492271E-2</v>
      </c>
      <c r="D55" cm="1">
        <f t="array" ref="D55">C55*linterp(20000,atmos_h,atmos_qms)*(A55^2)*wingarea</f>
        <v>156.77398873978524</v>
      </c>
      <c r="E55" cm="1">
        <f t="array" ref="E55">(((tsl*linterp(20000,atmos_h,atmos_dr))-D55)*(A55*linterp(0,atmos_h,atmos_aspeed))*60)/perfweight</f>
        <v>-1974.5876736151422</v>
      </c>
      <c r="F55" cm="1">
        <f t="array" ref="F55">((D55)*(A55*linterp(20000,atmos_h,atmos_aspeed))*60)/perfweight</f>
        <v>5852.0657226382527</v>
      </c>
    </row>
    <row r="56" spans="1:6" x14ac:dyDescent="0.25">
      <c r="A56">
        <v>0.55000000000000004</v>
      </c>
      <c r="B56" cm="1">
        <f t="array" ref="B56">(1*perfweight)/(0.5*linterp(20000,atmos_h,atmos_rho)*((A56*linterp(20000,atmos_h,atmos_aspeed))^2)*wingarea)</f>
        <v>0.11560899298246928</v>
      </c>
      <c r="C56">
        <f t="shared" si="0"/>
        <v>2.082865723402208E-2</v>
      </c>
      <c r="D56" cm="1">
        <f t="array" ref="D56">C56*linterp(20000,atmos_h,atmos_qms)*(A56^2)*wingarea</f>
        <v>162.14292340176328</v>
      </c>
      <c r="E56" cm="1">
        <f t="array" ref="E56">(((tsl*linterp(20000,atmos_h,atmos_dr))-D56)*(A56*linterp(0,atmos_h,atmos_aspeed))*60)/perfweight</f>
        <v>-2230.941474414863</v>
      </c>
      <c r="F56" cm="1">
        <f t="array" ref="F56">((D56)*(A56*linterp(20000,atmos_h,atmos_aspeed))*60)/perfweight</f>
        <v>6164.5604476886592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F5F4B-F907-4744-87ED-162F11B46A29}">
  <dimension ref="A1"/>
  <sheetViews>
    <sheetView workbookViewId="0">
      <selection activeCell="G39" sqref="G3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E1A8B-0B5A-4476-AF6A-4FDA5F94E8B3}">
  <dimension ref="A1"/>
  <sheetViews>
    <sheetView workbookViewId="0">
      <selection activeCell="H39" sqref="H39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732851-F1E1-4605-A0FB-76F5345BCEE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39</vt:i4>
      </vt:variant>
    </vt:vector>
  </HeadingPairs>
  <TitlesOfParts>
    <vt:vector size="46" baseType="lpstr">
      <vt:lpstr>Altitude Table</vt:lpstr>
      <vt:lpstr>Bede BD-5J Stats</vt:lpstr>
      <vt:lpstr>HW11 - Climb Descent Ceiling</vt:lpstr>
      <vt:lpstr>Numbers (SL)</vt:lpstr>
      <vt:lpstr>Numbers (20 K)</vt:lpstr>
      <vt:lpstr>Chart C</vt:lpstr>
      <vt:lpstr>Chart D</vt:lpstr>
      <vt:lpstr>'Chart D'!atmos_aspeed</vt:lpstr>
      <vt:lpstr>'Numbers (20 K)'!atmos_aspeed</vt:lpstr>
      <vt:lpstr>atmos_aspeed</vt:lpstr>
      <vt:lpstr>'Chart D'!atmos_dr</vt:lpstr>
      <vt:lpstr>'Numbers (20 K)'!atmos_dr</vt:lpstr>
      <vt:lpstr>atmos_dr</vt:lpstr>
      <vt:lpstr>'Chart D'!atmos_h</vt:lpstr>
      <vt:lpstr>'Numbers (20 K)'!atmos_h</vt:lpstr>
      <vt:lpstr>atmos_h</vt:lpstr>
      <vt:lpstr>'Chart D'!atmos_qms</vt:lpstr>
      <vt:lpstr>'Numbers (20 K)'!atmos_qms</vt:lpstr>
      <vt:lpstr>atmos_qms</vt:lpstr>
      <vt:lpstr>'Chart D'!atmos_rho</vt:lpstr>
      <vt:lpstr>'Numbers (20 K)'!atmos_rho</vt:lpstr>
      <vt:lpstr>atmos_rho</vt:lpstr>
      <vt:lpstr>'Chart D'!atmos_sqrtdr</vt:lpstr>
      <vt:lpstr>'Numbers (20 K)'!atmos_sqrtdr</vt:lpstr>
      <vt:lpstr>atmos_sqrtdr</vt:lpstr>
      <vt:lpstr>'Chart D'!atmos_vela</vt:lpstr>
      <vt:lpstr>'Numbers (20 K)'!atmos_vela</vt:lpstr>
      <vt:lpstr>atmos_vela</vt:lpstr>
      <vt:lpstr>ceiling</vt:lpstr>
      <vt:lpstr>clflight</vt:lpstr>
      <vt:lpstr>cllanding</vt:lpstr>
      <vt:lpstr>cltakeoff</vt:lpstr>
      <vt:lpstr>fuelmass</vt:lpstr>
      <vt:lpstr>fuelvol</vt:lpstr>
      <vt:lpstr>g</vt:lpstr>
      <vt:lpstr>maxkeas</vt:lpstr>
      <vt:lpstr>maxload</vt:lpstr>
      <vt:lpstr>maxmach</vt:lpstr>
      <vt:lpstr>maxmph</vt:lpstr>
      <vt:lpstr>maxweight</vt:lpstr>
      <vt:lpstr>minload</vt:lpstr>
      <vt:lpstr>perfweight</vt:lpstr>
      <vt:lpstr>sfcsl</vt:lpstr>
      <vt:lpstr>tsl</vt:lpstr>
      <vt:lpstr>wingarea</vt:lpstr>
      <vt:lpstr>wingspan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Kavouras</dc:creator>
  <cp:lastModifiedBy>Kavouras, Benjamin (kavourbm)</cp:lastModifiedBy>
  <dcterms:created xsi:type="dcterms:W3CDTF">2015-06-05T18:17:20Z</dcterms:created>
  <dcterms:modified xsi:type="dcterms:W3CDTF">2024-02-12T15:56:39Z</dcterms:modified>
</cp:coreProperties>
</file>