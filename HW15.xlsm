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ere\Documents\Spring24\Performance-Design\"/>
    </mc:Choice>
  </mc:AlternateContent>
  <xr:revisionPtr revIDLastSave="0" documentId="13_ncr:1_{17053E8E-CF4A-4261-99D2-E98691C1A98C}" xr6:coauthVersionLast="47" xr6:coauthVersionMax="47" xr10:uidLastSave="{00000000-0000-0000-0000-000000000000}"/>
  <bookViews>
    <workbookView xWindow="14295" yWindow="0" windowWidth="14610" windowHeight="17505" firstSheet="1" activeTab="2" xr2:uid="{00000000-000D-0000-FFFF-FFFF00000000}"/>
  </bookViews>
  <sheets>
    <sheet name="Altitude Table" sheetId="2" r:id="rId1"/>
    <sheet name="Bede BD-5J Stats" sheetId="3" r:id="rId2"/>
    <sheet name="HW15 - Takeoff &amp; Landing" sheetId="4" r:id="rId3"/>
  </sheets>
  <functionGroups builtInGroupCount="19"/>
  <definedNames>
    <definedName name="atmos_aspeed">Question_1[Speed of Sound (ft/s)]</definedName>
    <definedName name="atmos_dr">Question_1[Density Ratio]</definedName>
    <definedName name="atmos_h">Question_1[Altitude (ft)]</definedName>
    <definedName name="atmos_qms">Question_1[QMS (lb/ft^2)]</definedName>
    <definedName name="atmos_rho">Question_1[Density (slug/ft^3)]</definedName>
    <definedName name="atmos_sqrtdr">Question_1[SQRTDR]</definedName>
    <definedName name="atmos_vela">Question_1[Speed of Sound (knots)]</definedName>
    <definedName name="CD0">'Bede BD-5J Stats'!$F$13</definedName>
    <definedName name="ceiling">'Bede BD-5J Stats'!$B$9</definedName>
    <definedName name="clflight">'Bede BD-5J Stats'!$F$6</definedName>
    <definedName name="cllanding">'Bede BD-5J Stats'!$F$8</definedName>
    <definedName name="cltakeoff">'Bede BD-5J Stats'!$F$7</definedName>
    <definedName name="ExternalData_1" localSheetId="0" hidden="1">'Altitude Table'!$A$1:$O$62</definedName>
    <definedName name="fuelmass">'Bede BD-5J Stats'!$F$3</definedName>
    <definedName name="fuelvol">'Bede BD-5J Stats'!$F$2</definedName>
    <definedName name="g">'Bede BD-5J Stats'!$B$13</definedName>
    <definedName name="K">'Bede BD-5J Stats'!$F$14</definedName>
    <definedName name="maxkeas">'Bede BD-5J Stats'!$B$7</definedName>
    <definedName name="maxload">'Bede BD-5J Stats'!$B$4</definedName>
    <definedName name="maxmach">'Bede BD-5J Stats'!$B$8</definedName>
    <definedName name="maxmph">'Bede BD-5J Stats'!$B$6</definedName>
    <definedName name="maxweight">'Bede BD-5J Stats'!$F$4</definedName>
    <definedName name="minload">'Bede BD-5J Stats'!$B$5</definedName>
    <definedName name="perfweight">'Bede BD-5J Stats'!$F$5</definedName>
    <definedName name="sfcsl">'Bede BD-5J Stats'!$F$11</definedName>
    <definedName name="tsl">'Bede BD-5J Stats'!$B$11</definedName>
    <definedName name="wingarea">'Bede BD-5J Stats'!$B$3</definedName>
    <definedName name="wingspan">'Bede BD-5J Stats'!$B$2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6" i="4" l="1"/>
  <c r="D26" i="4"/>
  <c r="E24" i="4"/>
  <c r="D24" i="4"/>
  <c r="E23" i="4"/>
  <c r="D23" i="4"/>
  <c r="E21" i="4"/>
  <c r="D21" i="4"/>
  <c r="E19" i="4"/>
  <c r="D19" i="4"/>
  <c r="E14" i="4"/>
  <c r="D14" i="4"/>
  <c r="E12" i="4"/>
  <c r="D12" i="4"/>
  <c r="J13" i="4"/>
  <c r="J12" i="4"/>
  <c r="E22" i="4" a="1"/>
  <c r="D22" i="4" a="1"/>
  <c r="E20" i="4" a="1"/>
  <c r="D20" i="4" a="1"/>
  <c r="E18" i="4" a="1"/>
  <c r="D18" i="4" a="1"/>
  <c r="E17" i="4" a="1"/>
  <c r="D17" i="4" a="1"/>
  <c r="I13" i="4" a="1"/>
  <c r="H13" i="4" a="1"/>
  <c r="I12" i="4" a="1"/>
  <c r="G12" i="4" a="1"/>
  <c r="G13" i="4" a="1"/>
  <c r="E22" i="4" l="1"/>
  <c r="D22" i="4"/>
  <c r="E20" i="4"/>
  <c r="D20" i="4"/>
  <c r="E18" i="4"/>
  <c r="D18" i="4"/>
  <c r="E17" i="4"/>
  <c r="D17" i="4"/>
  <c r="I13" i="4"/>
  <c r="H13" i="4"/>
  <c r="I12" i="4"/>
  <c r="G12" i="4"/>
  <c r="G13" i="4"/>
  <c r="E6" i="4" l="1" a="1"/>
  <c r="D6" i="4" a="1"/>
  <c r="E6" i="4" l="1"/>
  <c r="D6" i="4"/>
  <c r="E7" i="4" a="1"/>
  <c r="D7" i="4" a="1"/>
  <c r="D7" i="4" l="1"/>
  <c r="E7" i="4"/>
  <c r="D8" i="4"/>
  <c r="D10" i="4"/>
  <c r="E10" i="4"/>
  <c r="E8" i="4"/>
  <c r="D9" i="4" a="1"/>
  <c r="D11" i="4" a="1"/>
  <c r="H12" i="4" a="1"/>
  <c r="E11" i="4" a="1"/>
  <c r="E9" i="4" a="1"/>
  <c r="E9" i="4" l="1"/>
  <c r="E11" i="4"/>
  <c r="H12" i="4"/>
  <c r="D11" i="4"/>
  <c r="D9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79FD591-D47C-4799-A118-9B756444BDC9}" keepAlive="1" name="Query - Question 1" description="Connection to the 'Question 1' query in the workbook." type="5" refreshedVersion="8" background="1" saveData="1">
    <dbPr connection="Provider=Microsoft.Mashup.OleDb.1;Data Source=$Workbook$;Location=&quot;Question 1&quot;;Extended Properties=&quot;&quot;" command="SELECT * FROM [Question 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<sst xmlns="http://schemas.openxmlformats.org/spreadsheetml/2006/main" count="116" uniqueCount="74">
  <si>
    <t>Altitude (ft)</t>
  </si>
  <si>
    <t>Temperature (R)</t>
  </si>
  <si>
    <t>Temperature (°F)</t>
  </si>
  <si>
    <t>Temperature (°C)</t>
  </si>
  <si>
    <t>Temperature Ratio</t>
  </si>
  <si>
    <t>Pressure Ratio</t>
  </si>
  <si>
    <t>Pressure (lb/ft^2)</t>
  </si>
  <si>
    <t>Density (slug/ft^3)</t>
  </si>
  <si>
    <t>Density Ratio</t>
  </si>
  <si>
    <t>SQRTDR</t>
  </si>
  <si>
    <t>QMS (lb/ft^2)</t>
  </si>
  <si>
    <t>Specific Weight (lb/ft^3)</t>
  </si>
  <si>
    <t>Speed of Sound (ft/s)</t>
  </si>
  <si>
    <t>Speed of Sound (knots)</t>
  </si>
  <si>
    <t>Kinematic Viscosity (ft^2/s)</t>
  </si>
  <si>
    <t>Wing Span</t>
  </si>
  <si>
    <t>ft</t>
  </si>
  <si>
    <t>Wing Planform Area</t>
  </si>
  <si>
    <t>ft^2</t>
  </si>
  <si>
    <t>Maximum Load Factor</t>
  </si>
  <si>
    <t>g</t>
  </si>
  <si>
    <t>Minimum Load Factor</t>
  </si>
  <si>
    <t>Maximum Speed</t>
  </si>
  <si>
    <t>mph</t>
  </si>
  <si>
    <t>KEAS</t>
  </si>
  <si>
    <t>Maximum Altitude</t>
  </si>
  <si>
    <t>Maximum Mach</t>
  </si>
  <si>
    <t>Fuel Capacity</t>
  </si>
  <si>
    <t>gal</t>
  </si>
  <si>
    <t>lb</t>
  </si>
  <si>
    <t>Gross Takeoff Weight</t>
  </si>
  <si>
    <t>Performance Weight</t>
  </si>
  <si>
    <t>CL Max (No Flaps)</t>
  </si>
  <si>
    <t>CL Max (Takeoff Flaps)</t>
  </si>
  <si>
    <t>CL Max (Landing Flaps)</t>
  </si>
  <si>
    <t>ft/s^2</t>
  </si>
  <si>
    <t>T_SL</t>
  </si>
  <si>
    <t>SFC_SL</t>
  </si>
  <si>
    <t>lb/(lb-hr)</t>
  </si>
  <si>
    <t>CD0</t>
  </si>
  <si>
    <t>K</t>
  </si>
  <si>
    <t>X</t>
  </si>
  <si>
    <t>Total Landing Ground Roll Distance</t>
  </si>
  <si>
    <r>
      <t xml:space="preserve">    (</t>
    </r>
    <r>
      <rPr>
        <b/>
        <sz val="12"/>
        <color theme="1"/>
        <rFont val="Symbol"/>
        <family val="1"/>
        <charset val="2"/>
      </rPr>
      <t>m</t>
    </r>
    <r>
      <rPr>
        <b/>
        <vertAlign val="subscript"/>
        <sz val="12"/>
        <color theme="1"/>
        <rFont val="Calibri"/>
        <family val="2"/>
        <scheme val="minor"/>
      </rPr>
      <t>b</t>
    </r>
    <r>
      <rPr>
        <b/>
        <sz val="12"/>
        <color theme="1"/>
        <rFont val="Calibri"/>
        <family val="2"/>
        <scheme val="minor"/>
      </rPr>
      <t>=0.30)</t>
    </r>
  </si>
  <si>
    <t>Braking Ground Roll Distance</t>
  </si>
  <si>
    <t>Transition Ground Roll Distance</t>
  </si>
  <si>
    <t>X.YYYY</t>
  </si>
  <si>
    <t>---</t>
  </si>
  <si>
    <t xml:space="preserve">     Mach Number</t>
  </si>
  <si>
    <t>X.Y</t>
  </si>
  <si>
    <t xml:space="preserve"> ft/sec</t>
  </si>
  <si>
    <t>Touchdown Velocity</t>
  </si>
  <si>
    <t>Approach Velocity</t>
  </si>
  <si>
    <t>Stall Velocity with landing flaps</t>
  </si>
  <si>
    <t>2,000 ft</t>
  </si>
  <si>
    <t>Sea Level</t>
  </si>
  <si>
    <t>Format</t>
  </si>
  <si>
    <t>Units</t>
  </si>
  <si>
    <t>Part b: Landing Performance at 660 lbs</t>
  </si>
  <si>
    <t>Takeoff Ground Roll Distance</t>
  </si>
  <si>
    <r>
      <t xml:space="preserve">    (</t>
    </r>
    <r>
      <rPr>
        <b/>
        <sz val="12"/>
        <color theme="1"/>
        <rFont val="Symbol"/>
        <family val="1"/>
        <charset val="2"/>
      </rPr>
      <t>D</t>
    </r>
    <r>
      <rPr>
        <b/>
        <sz val="12"/>
        <color theme="1"/>
        <rFont val="Calibri"/>
        <family val="2"/>
        <scheme val="minor"/>
      </rPr>
      <t>C</t>
    </r>
    <r>
      <rPr>
        <b/>
        <vertAlign val="subscript"/>
        <sz val="12"/>
        <color theme="1"/>
        <rFont val="Calibri"/>
        <family val="2"/>
        <scheme val="minor"/>
      </rPr>
      <t>D0</t>
    </r>
    <r>
      <rPr>
        <b/>
        <sz val="12"/>
        <color theme="1"/>
        <rFont val="Calibri"/>
        <family val="2"/>
        <scheme val="minor"/>
      </rPr>
      <t xml:space="preserve">=0.0148 ; </t>
    </r>
    <r>
      <rPr>
        <b/>
        <sz val="12"/>
        <color theme="1"/>
        <rFont val="Symbol"/>
        <family val="1"/>
        <charset val="2"/>
      </rPr>
      <t>m</t>
    </r>
    <r>
      <rPr>
        <b/>
        <vertAlign val="subscript"/>
        <sz val="12"/>
        <color theme="1"/>
        <rFont val="Calibri"/>
        <family val="2"/>
        <scheme val="minor"/>
      </rPr>
      <t>r</t>
    </r>
    <r>
      <rPr>
        <b/>
        <sz val="12"/>
        <color theme="1"/>
        <rFont val="Calibri"/>
        <family val="2"/>
        <scheme val="minor"/>
      </rPr>
      <t>=0.025 ; V = 0.7 VTO)</t>
    </r>
  </si>
  <si>
    <t>X.YY</t>
  </si>
  <si>
    <r>
      <t xml:space="preserve"> ft/sec</t>
    </r>
    <r>
      <rPr>
        <b/>
        <vertAlign val="superscript"/>
        <sz val="12"/>
        <color theme="1"/>
        <rFont val="Calibri"/>
        <family val="2"/>
        <scheme val="minor"/>
      </rPr>
      <t>2</t>
    </r>
  </si>
  <si>
    <t>Average acceleration during ground roll</t>
  </si>
  <si>
    <t>Takeoff Velocity</t>
  </si>
  <si>
    <t>Rotation Velocity</t>
  </si>
  <si>
    <t>Stall Velocity with takeoff flaps</t>
  </si>
  <si>
    <t>Part a: Takeoff Performance at 960 lbs</t>
  </si>
  <si>
    <t>Takeoff &amp; Landing</t>
  </si>
  <si>
    <t>Homework #15</t>
  </si>
  <si>
    <t>Thrust</t>
  </si>
  <si>
    <t>Drag</t>
  </si>
  <si>
    <t>R</t>
  </si>
  <si>
    <t>Lift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</si>
</sst>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70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Symbol"/>
      <family val="1"/>
      <charset val="2"/>
    </font>
    <font>
      <b/>
      <vertAlign val="subscript"/>
      <sz val="12"/>
      <color theme="1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164" fontId="0" fillId="0" borderId="0" xfId="0" applyNumberFormat="1"/>
    <xf numFmtId="0" fontId="2" fillId="2" borderId="1" xfId="0" applyFont="1" applyFill="1" applyBorder="1" applyAlignment="1">
      <alignment horizontal="center"/>
    </xf>
    <xf numFmtId="0" fontId="3" fillId="0" borderId="1" xfId="0" quotePrefix="1" applyFont="1" applyBorder="1" applyAlignment="1">
      <alignment horizontal="center"/>
    </xf>
    <xf numFmtId="0" fontId="2" fillId="0" borderId="1" xfId="0" quotePrefix="1" applyFont="1" applyBorder="1" applyAlignment="1">
      <alignment horizontal="center"/>
    </xf>
    <xf numFmtId="0" fontId="2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/>
    <xf numFmtId="164" fontId="3" fillId="3" borderId="2" xfId="0" applyNumberFormat="1" applyFont="1" applyFill="1" applyBorder="1" applyAlignment="1">
      <alignment horizontal="center"/>
    </xf>
    <xf numFmtId="0" fontId="2" fillId="3" borderId="2" xfId="0" quotePrefix="1" applyFont="1" applyFill="1" applyBorder="1" applyAlignment="1">
      <alignment horizontal="center"/>
    </xf>
    <xf numFmtId="0" fontId="2" fillId="3" borderId="1" xfId="0" quotePrefix="1" applyFont="1" applyFill="1" applyBorder="1" applyAlignment="1">
      <alignment horizontal="center"/>
    </xf>
    <xf numFmtId="0" fontId="2" fillId="3" borderId="2" xfId="0" applyFont="1" applyFill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4" borderId="0" xfId="0" applyFont="1" applyFill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1" xfId="0" applyNumberFormat="1" applyFont="1" applyFill="1" applyBorder="1" applyAlignment="1">
      <alignment horizontal="center"/>
    </xf>
    <xf numFmtId="170" fontId="2" fillId="2" borderId="1" xfId="0" applyNumberFormat="1" applyFont="1" applyFill="1" applyBorder="1" applyAlignment="1">
      <alignment horizontal="center"/>
    </xf>
    <xf numFmtId="1" fontId="2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FF35AB2-ECD1-4DB2-8CB5-CFCB6F871813}" autoFormatId="16" applyNumberFormats="0" applyBorderFormats="0" applyFontFormats="0" applyPatternFormats="0" applyAlignmentFormats="0" applyWidthHeightFormats="0">
  <queryTableRefresh nextId="16">
    <queryTableFields count="15">
      <queryTableField id="1" name="Altitude (ft)" tableColumnId="1"/>
      <queryTableField id="2" name="Temperature (R)" tableColumnId="2"/>
      <queryTableField id="3" name="Temperature (°F)" tableColumnId="3"/>
      <queryTableField id="4" name="Temperature (°C)" tableColumnId="4"/>
      <queryTableField id="5" name="Temperature Ratio" tableColumnId="5"/>
      <queryTableField id="6" name="Pressure Ratio" tableColumnId="6"/>
      <queryTableField id="7" name="Pressure (lb/ft^2)" tableColumnId="7"/>
      <queryTableField id="8" name="Density (slug/ft^3)" tableColumnId="8"/>
      <queryTableField id="9" name="Density Ratio" tableColumnId="9"/>
      <queryTableField id="10" name="SQRTDR" tableColumnId="10"/>
      <queryTableField id="11" name="QMS (lb/ft^2)" tableColumnId="11"/>
      <queryTableField id="12" name="Specific Weight (lb/ft^3)" tableColumnId="12"/>
      <queryTableField id="13" name="Speed of Sound (ft/s)" tableColumnId="13"/>
      <queryTableField id="14" name="Speed of Sound (knots)" tableColumnId="14"/>
      <queryTableField id="15" name="Kinematic Viscosity (ft^2/s)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8AF1DC-2F58-4DAD-9260-D06109DD6137}" name="Question_1" displayName="Question_1" ref="A1:O62" tableType="queryTable" totalsRowShown="0">
  <autoFilter ref="A1:O62" xr:uid="{B08AF1DC-2F58-4DAD-9260-D06109DD6137}"/>
  <tableColumns count="15">
    <tableColumn id="1" xr3:uid="{960A117B-2820-4A76-A822-790234E12FA8}" uniqueName="1" name="Altitude (ft)" queryTableFieldId="1"/>
    <tableColumn id="2" xr3:uid="{DCD70373-B4B9-4C59-A657-956884C058E0}" uniqueName="2" name="Temperature (R)" queryTableFieldId="2"/>
    <tableColumn id="3" xr3:uid="{3FF8F9BC-CCA5-4330-9C84-14A28D9470A2}" uniqueName="3" name="Temperature (°F)" queryTableFieldId="3"/>
    <tableColumn id="4" xr3:uid="{F46F88E3-9190-40D2-8B00-188035E5DA24}" uniqueName="4" name="Temperature (°C)" queryTableFieldId="4"/>
    <tableColumn id="5" xr3:uid="{262AB8DE-DDD5-4438-BB9F-64DDC1AF6723}" uniqueName="5" name="Temperature Ratio" queryTableFieldId="5"/>
    <tableColumn id="6" xr3:uid="{972D876E-10AD-4DEF-8D55-864086847665}" uniqueName="6" name="Pressure Ratio" queryTableFieldId="6"/>
    <tableColumn id="7" xr3:uid="{7D4DEFAF-FE96-40A2-86F7-A161FCD88187}" uniqueName="7" name="Pressure (lb/ft^2)" queryTableFieldId="7"/>
    <tableColumn id="8" xr3:uid="{94699014-0447-4503-84D4-E9843A4B2A9A}" uniqueName="8" name="Density (slug/ft^3)" queryTableFieldId="8"/>
    <tableColumn id="9" xr3:uid="{467D8592-23DA-4E34-BE4D-8D3F1CDA0EDD}" uniqueName="9" name="Density Ratio" queryTableFieldId="9"/>
    <tableColumn id="10" xr3:uid="{A124ACAF-F14B-4657-AD93-968F7491C2AC}" uniqueName="10" name="SQRTDR" queryTableFieldId="10"/>
    <tableColumn id="11" xr3:uid="{ED676259-6843-4069-9544-5C4FC616A4F3}" uniqueName="11" name="QMS (lb/ft^2)" queryTableFieldId="11"/>
    <tableColumn id="12" xr3:uid="{197F3898-AE4E-4DE5-9CE3-1DFE7AD7BC9F}" uniqueName="12" name="Specific Weight (lb/ft^3)" queryTableFieldId="12"/>
    <tableColumn id="13" xr3:uid="{391C5109-75B1-4333-B4C8-CD6DE7C76363}" uniqueName="13" name="Speed of Sound (ft/s)" queryTableFieldId="13"/>
    <tableColumn id="14" xr3:uid="{F196C208-AF68-4572-8054-E7D6A5B9AD37}" uniqueName="14" name="Speed of Sound (knots)" queryTableFieldId="14"/>
    <tableColumn id="15" xr3:uid="{8C94B0AD-04A4-4F8F-9596-C16918C651B2}" uniqueName="15" name="Kinematic Viscosity (ft^2/s)" queryTableField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D8B03-69E5-42A0-9382-BB7F9D0117B8}">
  <dimension ref="A1:O62"/>
  <sheetViews>
    <sheetView topLeftCell="I1" workbookViewId="0">
      <selection activeCell="N2" sqref="N2:N62"/>
    </sheetView>
  </sheetViews>
  <sheetFormatPr defaultRowHeight="15" x14ac:dyDescent="0.25"/>
  <cols>
    <col min="1" max="1" width="13.85546875" bestFit="1" customWidth="1"/>
    <col min="2" max="2" width="18" bestFit="1" customWidth="1"/>
    <col min="3" max="3" width="18.5703125" bestFit="1" customWidth="1"/>
    <col min="4" max="4" width="18.7109375" bestFit="1" customWidth="1"/>
    <col min="5" max="5" width="20.140625" bestFit="1" customWidth="1"/>
    <col min="6" max="6" width="16.140625" bestFit="1" customWidth="1"/>
    <col min="7" max="7" width="19" bestFit="1" customWidth="1"/>
    <col min="8" max="8" width="20" bestFit="1" customWidth="1"/>
    <col min="9" max="9" width="15" bestFit="1" customWidth="1"/>
    <col min="10" max="10" width="10.28515625" bestFit="1" customWidth="1"/>
    <col min="11" max="11" width="15.5703125" bestFit="1" customWidth="1"/>
    <col min="12" max="12" width="25.42578125" bestFit="1" customWidth="1"/>
    <col min="13" max="13" width="22.42578125" bestFit="1" customWidth="1"/>
    <col min="14" max="14" width="24.28515625" bestFit="1" customWidth="1"/>
    <col min="15" max="15" width="28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>
        <v>0</v>
      </c>
      <c r="B2">
        <v>518.70000000000005</v>
      </c>
      <c r="C2">
        <v>59</v>
      </c>
      <c r="D2">
        <v>15</v>
      </c>
      <c r="E2">
        <v>1</v>
      </c>
      <c r="F2">
        <v>1</v>
      </c>
      <c r="G2">
        <v>2116.2199999999998</v>
      </c>
      <c r="H2">
        <v>2.3768399999999999E-3</v>
      </c>
      <c r="I2">
        <v>1</v>
      </c>
      <c r="J2">
        <v>1</v>
      </c>
      <c r="K2">
        <v>1481.4</v>
      </c>
      <c r="L2">
        <v>7.6499999999999999E-2</v>
      </c>
      <c r="M2">
        <v>1116.46</v>
      </c>
      <c r="N2">
        <v>661.45</v>
      </c>
      <c r="O2">
        <v>1.5724000000000001E-4</v>
      </c>
    </row>
    <row r="3" spans="1:15" x14ac:dyDescent="0.25">
      <c r="A3">
        <v>1000</v>
      </c>
      <c r="B3">
        <v>515.1</v>
      </c>
      <c r="C3">
        <v>55.4</v>
      </c>
      <c r="D3">
        <v>13</v>
      </c>
      <c r="E3">
        <v>0.99309999999999998</v>
      </c>
      <c r="F3">
        <v>0.96430000000000005</v>
      </c>
      <c r="G3">
        <v>2040.67</v>
      </c>
      <c r="H3">
        <v>2.3080100000000001E-3</v>
      </c>
      <c r="I3">
        <v>0.97099999999999997</v>
      </c>
      <c r="J3">
        <v>0.98540000000000005</v>
      </c>
      <c r="K3">
        <v>1428.5</v>
      </c>
      <c r="L3">
        <v>7.4300000000000005E-2</v>
      </c>
      <c r="M3">
        <v>1112.58</v>
      </c>
      <c r="N3">
        <v>659.15</v>
      </c>
      <c r="O3">
        <v>1.6105000000000001E-4</v>
      </c>
    </row>
    <row r="4" spans="1:15" x14ac:dyDescent="0.25">
      <c r="A4">
        <v>2000</v>
      </c>
      <c r="B4">
        <v>511.6</v>
      </c>
      <c r="C4">
        <v>51.9</v>
      </c>
      <c r="D4">
        <v>11.1</v>
      </c>
      <c r="E4">
        <v>0.98629999999999995</v>
      </c>
      <c r="F4">
        <v>0.93010000000000004</v>
      </c>
      <c r="G4">
        <v>1968.3</v>
      </c>
      <c r="H4">
        <v>2.2413899999999998E-3</v>
      </c>
      <c r="I4">
        <v>0.94299999999999995</v>
      </c>
      <c r="J4">
        <v>0.97109999999999996</v>
      </c>
      <c r="K4">
        <v>1377.8</v>
      </c>
      <c r="L4">
        <v>7.2099999999999997E-2</v>
      </c>
      <c r="M4">
        <v>1108.79</v>
      </c>
      <c r="N4">
        <v>656.91</v>
      </c>
      <c r="O4">
        <v>1.6495999999999999E-4</v>
      </c>
    </row>
    <row r="5" spans="1:15" x14ac:dyDescent="0.25">
      <c r="A5">
        <v>3000</v>
      </c>
      <c r="B5">
        <v>508</v>
      </c>
      <c r="C5">
        <v>48.3</v>
      </c>
      <c r="D5">
        <v>9.1</v>
      </c>
      <c r="E5">
        <v>0.97940000000000005</v>
      </c>
      <c r="F5">
        <v>0.89639999999999997</v>
      </c>
      <c r="G5">
        <v>1896.98</v>
      </c>
      <c r="H5">
        <v>2.17548E-3</v>
      </c>
      <c r="I5">
        <v>0.9153</v>
      </c>
      <c r="J5">
        <v>0.95669999999999999</v>
      </c>
      <c r="K5">
        <v>1327.9</v>
      </c>
      <c r="L5">
        <v>7.0000000000000007E-2</v>
      </c>
      <c r="M5">
        <v>1104.8900000000001</v>
      </c>
      <c r="N5">
        <v>654.6</v>
      </c>
      <c r="O5">
        <v>1.6903E-4</v>
      </c>
    </row>
    <row r="6" spans="1:15" x14ac:dyDescent="0.25">
      <c r="A6">
        <v>4000</v>
      </c>
      <c r="B6">
        <v>504.4</v>
      </c>
      <c r="C6">
        <v>44.7</v>
      </c>
      <c r="D6">
        <v>7.1</v>
      </c>
      <c r="E6">
        <v>0.97240000000000004</v>
      </c>
      <c r="F6">
        <v>0.86319999999999997</v>
      </c>
      <c r="G6">
        <v>1826.72</v>
      </c>
      <c r="H6">
        <v>2.1098599999999999E-3</v>
      </c>
      <c r="I6">
        <v>0.88770000000000004</v>
      </c>
      <c r="J6">
        <v>0.94220000000000004</v>
      </c>
      <c r="K6">
        <v>1278.7</v>
      </c>
      <c r="L6">
        <v>6.7900000000000002E-2</v>
      </c>
      <c r="M6">
        <v>1100.96</v>
      </c>
      <c r="N6">
        <v>652.27</v>
      </c>
      <c r="O6">
        <v>1.7332E-4</v>
      </c>
    </row>
    <row r="7" spans="1:15" x14ac:dyDescent="0.25">
      <c r="A7">
        <v>5000</v>
      </c>
      <c r="B7">
        <v>500.9</v>
      </c>
      <c r="C7">
        <v>41.2</v>
      </c>
      <c r="D7">
        <v>5.0999999999999996</v>
      </c>
      <c r="E7">
        <v>0.9657</v>
      </c>
      <c r="F7">
        <v>0.83240000000000003</v>
      </c>
      <c r="G7">
        <v>1761.54</v>
      </c>
      <c r="H7">
        <v>2.04879E-3</v>
      </c>
      <c r="I7">
        <v>0.86199999999999999</v>
      </c>
      <c r="J7">
        <v>0.9284</v>
      </c>
      <c r="K7">
        <v>1233.0999999999999</v>
      </c>
      <c r="L7">
        <v>6.59E-2</v>
      </c>
      <c r="M7">
        <v>1097.1400000000001</v>
      </c>
      <c r="N7">
        <v>650.01</v>
      </c>
      <c r="O7">
        <v>1.7751E-4</v>
      </c>
    </row>
    <row r="8" spans="1:15" x14ac:dyDescent="0.25">
      <c r="A8">
        <v>6000</v>
      </c>
      <c r="B8">
        <v>497.3</v>
      </c>
      <c r="C8">
        <v>37.6</v>
      </c>
      <c r="D8">
        <v>3.1</v>
      </c>
      <c r="E8">
        <v>0.9587</v>
      </c>
      <c r="F8">
        <v>0.80120000000000002</v>
      </c>
      <c r="G8">
        <v>1695.52</v>
      </c>
      <c r="H8">
        <v>1.98628E-3</v>
      </c>
      <c r="I8">
        <v>0.8357</v>
      </c>
      <c r="J8">
        <v>0.91420000000000001</v>
      </c>
      <c r="K8">
        <v>1186.9000000000001</v>
      </c>
      <c r="L8">
        <v>6.3899999999999998E-2</v>
      </c>
      <c r="M8">
        <v>1093.19</v>
      </c>
      <c r="N8">
        <v>647.66999999999996</v>
      </c>
      <c r="O8">
        <v>1.8206E-4</v>
      </c>
    </row>
    <row r="9" spans="1:15" x14ac:dyDescent="0.25">
      <c r="A9">
        <v>7000</v>
      </c>
      <c r="B9">
        <v>493.7</v>
      </c>
      <c r="C9">
        <v>34</v>
      </c>
      <c r="D9">
        <v>1.1000000000000001</v>
      </c>
      <c r="E9">
        <v>0.95179999999999998</v>
      </c>
      <c r="F9">
        <v>0.77129999999999999</v>
      </c>
      <c r="G9">
        <v>1632.24</v>
      </c>
      <c r="H9">
        <v>1.9260900000000001E-3</v>
      </c>
      <c r="I9">
        <v>0.81040000000000001</v>
      </c>
      <c r="J9">
        <v>0.9002</v>
      </c>
      <c r="K9">
        <v>1142.5999999999999</v>
      </c>
      <c r="L9">
        <v>6.2E-2</v>
      </c>
      <c r="M9">
        <v>1089.22</v>
      </c>
      <c r="N9">
        <v>645.30999999999995</v>
      </c>
      <c r="O9">
        <v>1.8667999999999999E-4</v>
      </c>
    </row>
    <row r="10" spans="1:15" x14ac:dyDescent="0.25">
      <c r="A10">
        <v>8000</v>
      </c>
      <c r="B10">
        <v>490.2</v>
      </c>
      <c r="C10">
        <v>30.5</v>
      </c>
      <c r="D10">
        <v>-0.8</v>
      </c>
      <c r="E10">
        <v>0.94510000000000005</v>
      </c>
      <c r="F10">
        <v>0.74319999999999997</v>
      </c>
      <c r="G10">
        <v>1572.77</v>
      </c>
      <c r="H10">
        <v>1.8691700000000001E-3</v>
      </c>
      <c r="I10">
        <v>0.78639999999999999</v>
      </c>
      <c r="J10">
        <v>0.88680000000000003</v>
      </c>
      <c r="K10">
        <v>1100.9000000000001</v>
      </c>
      <c r="L10">
        <v>6.0100000000000001E-2</v>
      </c>
      <c r="M10">
        <v>1085.3599999999999</v>
      </c>
      <c r="N10">
        <v>643.03</v>
      </c>
      <c r="O10">
        <v>1.9128999999999999E-4</v>
      </c>
    </row>
    <row r="11" spans="1:15" x14ac:dyDescent="0.25">
      <c r="A11">
        <v>9000</v>
      </c>
      <c r="B11">
        <v>486.6</v>
      </c>
      <c r="C11">
        <v>26.9</v>
      </c>
      <c r="D11">
        <v>-2.8</v>
      </c>
      <c r="E11">
        <v>0.93810000000000004</v>
      </c>
      <c r="F11">
        <v>0.7147</v>
      </c>
      <c r="G11">
        <v>1512.46</v>
      </c>
      <c r="H11">
        <v>1.8107900000000001E-3</v>
      </c>
      <c r="I11">
        <v>0.76190000000000002</v>
      </c>
      <c r="J11">
        <v>0.87290000000000001</v>
      </c>
      <c r="K11">
        <v>1058.7</v>
      </c>
      <c r="L11">
        <v>5.8299999999999998E-2</v>
      </c>
      <c r="M11">
        <v>1081.3599999999999</v>
      </c>
      <c r="N11">
        <v>640.66</v>
      </c>
      <c r="O11">
        <v>1.9631999999999999E-4</v>
      </c>
    </row>
    <row r="12" spans="1:15" x14ac:dyDescent="0.25">
      <c r="A12">
        <v>10000</v>
      </c>
      <c r="B12">
        <v>483</v>
      </c>
      <c r="C12">
        <v>23.3</v>
      </c>
      <c r="D12">
        <v>-4.8</v>
      </c>
      <c r="E12">
        <v>0.93120000000000003</v>
      </c>
      <c r="F12">
        <v>0.6875</v>
      </c>
      <c r="G12">
        <v>1454.9</v>
      </c>
      <c r="H12">
        <v>1.75486E-3</v>
      </c>
      <c r="I12">
        <v>0.73829999999999996</v>
      </c>
      <c r="J12">
        <v>0.85919999999999996</v>
      </c>
      <c r="K12">
        <v>1018.4</v>
      </c>
      <c r="L12">
        <v>5.6500000000000002E-2</v>
      </c>
      <c r="M12">
        <v>1077.3599999999999</v>
      </c>
      <c r="N12">
        <v>638.29</v>
      </c>
      <c r="O12">
        <v>2.0138999999999999E-4</v>
      </c>
    </row>
    <row r="13" spans="1:15" x14ac:dyDescent="0.25">
      <c r="A13">
        <v>11000</v>
      </c>
      <c r="B13">
        <v>479.5</v>
      </c>
      <c r="C13">
        <v>19.8</v>
      </c>
      <c r="D13">
        <v>-6.8</v>
      </c>
      <c r="E13">
        <v>0.9244</v>
      </c>
      <c r="F13">
        <v>0.66149999999999998</v>
      </c>
      <c r="G13">
        <v>1399.88</v>
      </c>
      <c r="H13">
        <v>1.70082E-3</v>
      </c>
      <c r="I13">
        <v>0.71560000000000001</v>
      </c>
      <c r="J13">
        <v>0.84589999999999999</v>
      </c>
      <c r="K13">
        <v>979.9</v>
      </c>
      <c r="L13">
        <v>5.4699999999999999E-2</v>
      </c>
      <c r="M13">
        <v>1073.45</v>
      </c>
      <c r="N13">
        <v>635.97</v>
      </c>
      <c r="O13">
        <v>2.0659000000000001E-4</v>
      </c>
    </row>
    <row r="14" spans="1:15" x14ac:dyDescent="0.25">
      <c r="A14">
        <v>12000</v>
      </c>
      <c r="B14">
        <v>475.9</v>
      </c>
      <c r="C14">
        <v>16.2</v>
      </c>
      <c r="D14">
        <v>-8.8000000000000007</v>
      </c>
      <c r="E14">
        <v>0.91749999999999998</v>
      </c>
      <c r="F14">
        <v>0.63600000000000001</v>
      </c>
      <c r="G14">
        <v>1345.92</v>
      </c>
      <c r="H14">
        <v>1.64763E-3</v>
      </c>
      <c r="I14">
        <v>0.69320000000000004</v>
      </c>
      <c r="J14">
        <v>0.83260000000000001</v>
      </c>
      <c r="K14">
        <v>942.1</v>
      </c>
      <c r="L14">
        <v>5.2999999999999999E-2</v>
      </c>
      <c r="M14">
        <v>1069.4100000000001</v>
      </c>
      <c r="N14">
        <v>633.58000000000004</v>
      </c>
      <c r="O14">
        <v>2.1199000000000001E-4</v>
      </c>
    </row>
    <row r="15" spans="1:15" x14ac:dyDescent="0.25">
      <c r="A15">
        <v>13000</v>
      </c>
      <c r="B15">
        <v>472.3</v>
      </c>
      <c r="C15">
        <v>12.6</v>
      </c>
      <c r="D15">
        <v>-10.8</v>
      </c>
      <c r="E15">
        <v>0.91049999999999998</v>
      </c>
      <c r="F15">
        <v>0.6109</v>
      </c>
      <c r="G15">
        <v>1292.8</v>
      </c>
      <c r="H15">
        <v>1.5946700000000001E-3</v>
      </c>
      <c r="I15">
        <v>0.67100000000000004</v>
      </c>
      <c r="J15">
        <v>0.81910000000000005</v>
      </c>
      <c r="K15">
        <v>905</v>
      </c>
      <c r="L15">
        <v>5.1299999999999998E-2</v>
      </c>
      <c r="M15">
        <v>1065.3599999999999</v>
      </c>
      <c r="N15">
        <v>631.17999999999995</v>
      </c>
      <c r="O15">
        <v>2.1771E-4</v>
      </c>
    </row>
    <row r="16" spans="1:15" x14ac:dyDescent="0.25">
      <c r="A16">
        <v>14000</v>
      </c>
      <c r="B16">
        <v>468.8</v>
      </c>
      <c r="C16">
        <v>9.1</v>
      </c>
      <c r="D16">
        <v>-12.7</v>
      </c>
      <c r="E16">
        <v>0.90380000000000005</v>
      </c>
      <c r="F16">
        <v>0.58760000000000001</v>
      </c>
      <c r="G16">
        <v>1243.49</v>
      </c>
      <c r="H16">
        <v>1.5452899999999999E-3</v>
      </c>
      <c r="I16">
        <v>0.65010000000000001</v>
      </c>
      <c r="J16">
        <v>0.80630000000000002</v>
      </c>
      <c r="K16">
        <v>870.4</v>
      </c>
      <c r="L16">
        <v>4.9700000000000001E-2</v>
      </c>
      <c r="M16">
        <v>1061.4000000000001</v>
      </c>
      <c r="N16">
        <v>628.83000000000004</v>
      </c>
      <c r="O16">
        <v>2.2334000000000001E-4</v>
      </c>
    </row>
    <row r="17" spans="1:15" x14ac:dyDescent="0.25">
      <c r="A17">
        <v>15000</v>
      </c>
      <c r="B17">
        <v>465.2</v>
      </c>
      <c r="C17">
        <v>5.5</v>
      </c>
      <c r="D17">
        <v>-14.7</v>
      </c>
      <c r="E17">
        <v>0.89690000000000003</v>
      </c>
      <c r="F17">
        <v>0.56440000000000001</v>
      </c>
      <c r="G17">
        <v>1194.3900000000001</v>
      </c>
      <c r="H17">
        <v>1.4957600000000001E-3</v>
      </c>
      <c r="I17">
        <v>0.62929999999999997</v>
      </c>
      <c r="J17">
        <v>0.79330000000000001</v>
      </c>
      <c r="K17">
        <v>836.1</v>
      </c>
      <c r="L17">
        <v>4.8099999999999997E-2</v>
      </c>
      <c r="M17">
        <v>1057.32</v>
      </c>
      <c r="N17">
        <v>626.41999999999996</v>
      </c>
      <c r="O17">
        <v>2.2932000000000001E-4</v>
      </c>
    </row>
    <row r="18" spans="1:15" x14ac:dyDescent="0.25">
      <c r="A18">
        <v>16000</v>
      </c>
      <c r="B18">
        <v>461.6</v>
      </c>
      <c r="C18">
        <v>1.9</v>
      </c>
      <c r="D18">
        <v>-16.7</v>
      </c>
      <c r="E18">
        <v>0.88990000000000002</v>
      </c>
      <c r="F18">
        <v>0.54169999999999996</v>
      </c>
      <c r="G18">
        <v>1146.3599999999999</v>
      </c>
      <c r="H18">
        <v>1.44681E-3</v>
      </c>
      <c r="I18">
        <v>0.60870000000000002</v>
      </c>
      <c r="J18">
        <v>0.7802</v>
      </c>
      <c r="K18">
        <v>802.4</v>
      </c>
      <c r="L18">
        <v>4.65E-2</v>
      </c>
      <c r="M18">
        <v>1053.22</v>
      </c>
      <c r="N18">
        <v>623.99</v>
      </c>
      <c r="O18">
        <v>2.3561E-4</v>
      </c>
    </row>
    <row r="19" spans="1:15" x14ac:dyDescent="0.25">
      <c r="A19">
        <v>17000</v>
      </c>
      <c r="B19">
        <v>458.1</v>
      </c>
      <c r="C19">
        <v>-1.6</v>
      </c>
      <c r="D19">
        <v>-18.7</v>
      </c>
      <c r="E19">
        <v>0.88319999999999999</v>
      </c>
      <c r="F19">
        <v>0.52059999999999995</v>
      </c>
      <c r="G19">
        <v>1101.7</v>
      </c>
      <c r="H19">
        <v>1.4010699999999999E-3</v>
      </c>
      <c r="I19">
        <v>0.58940000000000003</v>
      </c>
      <c r="J19">
        <v>0.76770000000000005</v>
      </c>
      <c r="K19">
        <v>771.2</v>
      </c>
      <c r="L19">
        <v>4.5100000000000001E-2</v>
      </c>
      <c r="M19">
        <v>1049.22</v>
      </c>
      <c r="N19">
        <v>621.62</v>
      </c>
      <c r="O19">
        <v>2.4182000000000001E-4</v>
      </c>
    </row>
    <row r="20" spans="1:15" x14ac:dyDescent="0.25">
      <c r="A20">
        <v>18000</v>
      </c>
      <c r="B20">
        <v>454.5</v>
      </c>
      <c r="C20">
        <v>-5.2</v>
      </c>
      <c r="D20">
        <v>-20.7</v>
      </c>
      <c r="E20">
        <v>0.87619999999999998</v>
      </c>
      <c r="F20">
        <v>0.49919999999999998</v>
      </c>
      <c r="G20">
        <v>1056.42</v>
      </c>
      <c r="H20">
        <v>1.35413E-3</v>
      </c>
      <c r="I20">
        <v>0.56969999999999998</v>
      </c>
      <c r="J20">
        <v>0.75480000000000003</v>
      </c>
      <c r="K20">
        <v>739.5</v>
      </c>
      <c r="L20">
        <v>4.36E-2</v>
      </c>
      <c r="M20">
        <v>1045.0899999999999</v>
      </c>
      <c r="N20">
        <v>619.16999999999996</v>
      </c>
      <c r="O20">
        <v>2.4862000000000002E-4</v>
      </c>
    </row>
    <row r="21" spans="1:15" x14ac:dyDescent="0.25">
      <c r="A21">
        <v>19000</v>
      </c>
      <c r="B21">
        <v>450.9</v>
      </c>
      <c r="C21">
        <v>-8.8000000000000007</v>
      </c>
      <c r="D21">
        <v>-22.7</v>
      </c>
      <c r="E21">
        <v>0.86929999999999996</v>
      </c>
      <c r="F21">
        <v>0.47889999999999999</v>
      </c>
      <c r="G21">
        <v>1013.46</v>
      </c>
      <c r="H21">
        <v>1.3094300000000001E-3</v>
      </c>
      <c r="I21">
        <v>0.55089999999999995</v>
      </c>
      <c r="J21">
        <v>0.74219999999999997</v>
      </c>
      <c r="K21">
        <v>709.4</v>
      </c>
      <c r="L21">
        <v>4.2099999999999999E-2</v>
      </c>
      <c r="M21">
        <v>1040.94</v>
      </c>
      <c r="N21">
        <v>616.71</v>
      </c>
      <c r="O21">
        <v>2.5546999999999999E-4</v>
      </c>
    </row>
    <row r="22" spans="1:15" x14ac:dyDescent="0.25">
      <c r="A22">
        <v>20000</v>
      </c>
      <c r="B22">
        <v>447.4</v>
      </c>
      <c r="C22">
        <v>-12.3</v>
      </c>
      <c r="D22">
        <v>-24.6</v>
      </c>
      <c r="E22">
        <v>0.86250000000000004</v>
      </c>
      <c r="F22">
        <v>0.45960000000000001</v>
      </c>
      <c r="G22">
        <v>972.61</v>
      </c>
      <c r="H22">
        <v>1.2664799999999999E-3</v>
      </c>
      <c r="I22">
        <v>0.53290000000000004</v>
      </c>
      <c r="J22">
        <v>0.73</v>
      </c>
      <c r="K22">
        <v>680.8</v>
      </c>
      <c r="L22">
        <v>4.07E-2</v>
      </c>
      <c r="M22">
        <v>1036.8900000000001</v>
      </c>
      <c r="N22">
        <v>614.30999999999995</v>
      </c>
      <c r="O22">
        <v>2.6247999999999999E-4</v>
      </c>
    </row>
    <row r="23" spans="1:15" x14ac:dyDescent="0.25">
      <c r="A23">
        <v>21000</v>
      </c>
      <c r="B23">
        <v>443.8</v>
      </c>
      <c r="C23">
        <v>-15.9</v>
      </c>
      <c r="D23">
        <v>-26.6</v>
      </c>
      <c r="E23">
        <v>0.85560000000000003</v>
      </c>
      <c r="F23">
        <v>0.44059999999999999</v>
      </c>
      <c r="G23">
        <v>932.41</v>
      </c>
      <c r="H23">
        <v>1.2239799999999999E-3</v>
      </c>
      <c r="I23">
        <v>0.51500000000000001</v>
      </c>
      <c r="J23">
        <v>0.71760000000000002</v>
      </c>
      <c r="K23">
        <v>652.70000000000005</v>
      </c>
      <c r="L23">
        <v>3.9399999999999998E-2</v>
      </c>
      <c r="M23">
        <v>1032.71</v>
      </c>
      <c r="N23">
        <v>611.84</v>
      </c>
      <c r="O23">
        <v>2.6981999999999999E-4</v>
      </c>
    </row>
    <row r="24" spans="1:15" x14ac:dyDescent="0.25">
      <c r="A24">
        <v>22000</v>
      </c>
      <c r="B24">
        <v>440.2</v>
      </c>
      <c r="C24">
        <v>-19.5</v>
      </c>
      <c r="D24">
        <v>-28.6</v>
      </c>
      <c r="E24">
        <v>0.84870000000000001</v>
      </c>
      <c r="F24">
        <v>0.42220000000000002</v>
      </c>
      <c r="G24">
        <v>893.47</v>
      </c>
      <c r="H24">
        <v>1.18246E-3</v>
      </c>
      <c r="I24">
        <v>0.4975</v>
      </c>
      <c r="J24">
        <v>0.70530000000000004</v>
      </c>
      <c r="K24">
        <v>625.4</v>
      </c>
      <c r="L24">
        <v>3.7999999999999999E-2</v>
      </c>
      <c r="M24">
        <v>1028.52</v>
      </c>
      <c r="N24">
        <v>609.35</v>
      </c>
      <c r="O24">
        <v>2.7745999999999999E-4</v>
      </c>
    </row>
    <row r="25" spans="1:15" x14ac:dyDescent="0.25">
      <c r="A25">
        <v>23000</v>
      </c>
      <c r="B25">
        <v>436.7</v>
      </c>
      <c r="C25">
        <v>-23</v>
      </c>
      <c r="D25">
        <v>-30.6</v>
      </c>
      <c r="E25">
        <v>0.84189999999999998</v>
      </c>
      <c r="F25">
        <v>0.4047</v>
      </c>
      <c r="G25">
        <v>856.43</v>
      </c>
      <c r="H25">
        <v>1.14252E-3</v>
      </c>
      <c r="I25">
        <v>0.48070000000000002</v>
      </c>
      <c r="J25">
        <v>0.69330000000000003</v>
      </c>
      <c r="K25">
        <v>599.5</v>
      </c>
      <c r="L25">
        <v>3.6799999999999999E-2</v>
      </c>
      <c r="M25">
        <v>1024.42</v>
      </c>
      <c r="N25">
        <v>606.91999999999996</v>
      </c>
      <c r="O25">
        <v>2.853E-4</v>
      </c>
    </row>
    <row r="26" spans="1:15" x14ac:dyDescent="0.25">
      <c r="A26">
        <v>24000</v>
      </c>
      <c r="B26">
        <v>433.1</v>
      </c>
      <c r="C26">
        <v>-26.6</v>
      </c>
      <c r="D26">
        <v>-32.6</v>
      </c>
      <c r="E26">
        <v>0.83499999999999996</v>
      </c>
      <c r="F26">
        <v>0.3876</v>
      </c>
      <c r="G26">
        <v>820.25</v>
      </c>
      <c r="H26">
        <v>1.1033499999999999E-3</v>
      </c>
      <c r="I26">
        <v>0.4642</v>
      </c>
      <c r="J26">
        <v>0.68130000000000002</v>
      </c>
      <c r="K26">
        <v>574.20000000000005</v>
      </c>
      <c r="L26">
        <v>3.5499999999999997E-2</v>
      </c>
      <c r="M26">
        <v>1020.19</v>
      </c>
      <c r="N26">
        <v>604.41999999999996</v>
      </c>
      <c r="O26">
        <v>2.9345E-4</v>
      </c>
    </row>
    <row r="27" spans="1:15" x14ac:dyDescent="0.25">
      <c r="A27">
        <v>25000</v>
      </c>
      <c r="B27">
        <v>429.6</v>
      </c>
      <c r="C27">
        <v>-30.1</v>
      </c>
      <c r="D27">
        <v>-34.5</v>
      </c>
      <c r="E27">
        <v>0.82820000000000005</v>
      </c>
      <c r="F27">
        <v>0.37130000000000002</v>
      </c>
      <c r="G27">
        <v>785.75</v>
      </c>
      <c r="H27">
        <v>1.0655599999999999E-3</v>
      </c>
      <c r="I27">
        <v>0.44829999999999998</v>
      </c>
      <c r="J27">
        <v>0.66959999999999997</v>
      </c>
      <c r="K27">
        <v>550</v>
      </c>
      <c r="L27">
        <v>3.4299999999999997E-2</v>
      </c>
      <c r="M27">
        <v>1016.06</v>
      </c>
      <c r="N27">
        <v>601.97</v>
      </c>
      <c r="O27">
        <v>3.0184999999999999E-4</v>
      </c>
    </row>
    <row r="28" spans="1:15" x14ac:dyDescent="0.25">
      <c r="A28">
        <v>26000</v>
      </c>
      <c r="B28">
        <v>426</v>
      </c>
      <c r="C28">
        <v>-33.700000000000003</v>
      </c>
      <c r="D28">
        <v>-36.5</v>
      </c>
      <c r="E28">
        <v>0.82130000000000003</v>
      </c>
      <c r="F28">
        <v>0.3553</v>
      </c>
      <c r="G28">
        <v>751.89</v>
      </c>
      <c r="H28">
        <v>1.02826E-3</v>
      </c>
      <c r="I28">
        <v>0.43259999999999998</v>
      </c>
      <c r="J28">
        <v>0.65769999999999995</v>
      </c>
      <c r="K28">
        <v>526.29999999999995</v>
      </c>
      <c r="L28">
        <v>3.3099999999999997E-2</v>
      </c>
      <c r="M28">
        <v>1011.79</v>
      </c>
      <c r="N28">
        <v>599.44000000000005</v>
      </c>
      <c r="O28">
        <v>3.1065999999999998E-4</v>
      </c>
    </row>
    <row r="29" spans="1:15" x14ac:dyDescent="0.25">
      <c r="A29">
        <v>27000</v>
      </c>
      <c r="B29">
        <v>422.4</v>
      </c>
      <c r="C29">
        <v>-37.299999999999997</v>
      </c>
      <c r="D29">
        <v>-38.5</v>
      </c>
      <c r="E29">
        <v>0.81430000000000002</v>
      </c>
      <c r="F29">
        <v>0.3397</v>
      </c>
      <c r="G29">
        <v>718.88</v>
      </c>
      <c r="H29">
        <v>9.9149000000000004E-4</v>
      </c>
      <c r="I29">
        <v>0.41720000000000002</v>
      </c>
      <c r="J29">
        <v>0.64590000000000003</v>
      </c>
      <c r="K29">
        <v>503.2</v>
      </c>
      <c r="L29">
        <v>3.1899999999999998E-2</v>
      </c>
      <c r="M29">
        <v>1007.51</v>
      </c>
      <c r="N29">
        <v>596.91</v>
      </c>
      <c r="O29">
        <v>3.1995E-4</v>
      </c>
    </row>
    <row r="30" spans="1:15" x14ac:dyDescent="0.25">
      <c r="A30">
        <v>28000</v>
      </c>
      <c r="B30">
        <v>418.9</v>
      </c>
      <c r="C30">
        <v>-40.799999999999997</v>
      </c>
      <c r="D30">
        <v>-40.4</v>
      </c>
      <c r="E30">
        <v>0.80759999999999998</v>
      </c>
      <c r="F30">
        <v>0.32519999999999999</v>
      </c>
      <c r="G30">
        <v>688.19</v>
      </c>
      <c r="H30">
        <v>9.5708999999999996E-4</v>
      </c>
      <c r="I30">
        <v>0.4027</v>
      </c>
      <c r="J30">
        <v>0.63460000000000005</v>
      </c>
      <c r="K30">
        <v>481.7</v>
      </c>
      <c r="L30">
        <v>3.0800000000000001E-2</v>
      </c>
      <c r="M30">
        <v>1003.32</v>
      </c>
      <c r="N30">
        <v>594.41999999999996</v>
      </c>
      <c r="O30">
        <v>3.2918999999999998E-4</v>
      </c>
    </row>
    <row r="31" spans="1:15" x14ac:dyDescent="0.25">
      <c r="A31">
        <v>29000</v>
      </c>
      <c r="B31">
        <v>415.3</v>
      </c>
      <c r="C31">
        <v>-44.4</v>
      </c>
      <c r="D31">
        <v>-42.4</v>
      </c>
      <c r="E31">
        <v>0.80069999999999997</v>
      </c>
      <c r="F31">
        <v>0.31090000000000001</v>
      </c>
      <c r="G31">
        <v>657.93</v>
      </c>
      <c r="H31">
        <v>9.2294000000000002E-4</v>
      </c>
      <c r="I31">
        <v>0.38829999999999998</v>
      </c>
      <c r="J31">
        <v>0.62309999999999999</v>
      </c>
      <c r="K31">
        <v>460.6</v>
      </c>
      <c r="L31">
        <v>2.9700000000000001E-2</v>
      </c>
      <c r="M31">
        <v>999</v>
      </c>
      <c r="N31">
        <v>591.86</v>
      </c>
      <c r="O31">
        <v>3.3896000000000002E-4</v>
      </c>
    </row>
    <row r="32" spans="1:15" x14ac:dyDescent="0.25">
      <c r="A32">
        <v>30000</v>
      </c>
      <c r="B32">
        <v>411.7</v>
      </c>
      <c r="C32">
        <v>-48</v>
      </c>
      <c r="D32">
        <v>-44.4</v>
      </c>
      <c r="E32">
        <v>0.79369999999999996</v>
      </c>
      <c r="F32">
        <v>0.2969</v>
      </c>
      <c r="G32">
        <v>628.30999999999995</v>
      </c>
      <c r="H32">
        <v>8.8909999999999998E-4</v>
      </c>
      <c r="I32">
        <v>0.37409999999999999</v>
      </c>
      <c r="J32">
        <v>0.61160000000000003</v>
      </c>
      <c r="K32">
        <v>439.8</v>
      </c>
      <c r="L32">
        <v>2.86E-2</v>
      </c>
      <c r="M32">
        <v>994.66</v>
      </c>
      <c r="N32">
        <v>589.29</v>
      </c>
      <c r="O32">
        <v>3.4934000000000001E-4</v>
      </c>
    </row>
    <row r="33" spans="1:15" x14ac:dyDescent="0.25">
      <c r="A33">
        <v>31000</v>
      </c>
      <c r="B33">
        <v>408.2</v>
      </c>
      <c r="C33">
        <v>-51.5</v>
      </c>
      <c r="D33">
        <v>-46.4</v>
      </c>
      <c r="E33">
        <v>0.78700000000000003</v>
      </c>
      <c r="F33">
        <v>0.28389999999999999</v>
      </c>
      <c r="G33">
        <v>600.79</v>
      </c>
      <c r="H33">
        <v>8.5744E-4</v>
      </c>
      <c r="I33">
        <v>0.36070000000000002</v>
      </c>
      <c r="J33">
        <v>0.60060000000000002</v>
      </c>
      <c r="K33">
        <v>420.6</v>
      </c>
      <c r="L33">
        <v>2.76E-2</v>
      </c>
      <c r="M33">
        <v>990.43</v>
      </c>
      <c r="N33">
        <v>586.79</v>
      </c>
      <c r="O33">
        <v>3.5969000000000002E-4</v>
      </c>
    </row>
    <row r="34" spans="1:15" x14ac:dyDescent="0.25">
      <c r="A34">
        <v>32000</v>
      </c>
      <c r="B34">
        <v>404.6</v>
      </c>
      <c r="C34">
        <v>-55.1</v>
      </c>
      <c r="D34">
        <v>-48.4</v>
      </c>
      <c r="E34">
        <v>0.78</v>
      </c>
      <c r="F34">
        <v>0.27089999999999997</v>
      </c>
      <c r="G34">
        <v>573.28</v>
      </c>
      <c r="H34">
        <v>8.2545999999999997E-4</v>
      </c>
      <c r="I34">
        <v>0.3473</v>
      </c>
      <c r="J34">
        <v>0.58930000000000005</v>
      </c>
      <c r="K34">
        <v>401.3</v>
      </c>
      <c r="L34">
        <v>2.6599999999999999E-2</v>
      </c>
      <c r="M34">
        <v>986.05</v>
      </c>
      <c r="N34">
        <v>584.19000000000005</v>
      </c>
      <c r="O34">
        <v>3.7090000000000002E-4</v>
      </c>
    </row>
    <row r="35" spans="1:15" x14ac:dyDescent="0.25">
      <c r="A35">
        <v>33000</v>
      </c>
      <c r="B35">
        <v>401</v>
      </c>
      <c r="C35">
        <v>-58.7</v>
      </c>
      <c r="D35">
        <v>-50.4</v>
      </c>
      <c r="E35">
        <v>0.77310000000000001</v>
      </c>
      <c r="F35">
        <v>0.25850000000000001</v>
      </c>
      <c r="G35">
        <v>547.04</v>
      </c>
      <c r="H35">
        <v>7.9474999999999999E-4</v>
      </c>
      <c r="I35">
        <v>0.33439999999999998</v>
      </c>
      <c r="J35">
        <v>0.57830000000000004</v>
      </c>
      <c r="K35">
        <v>382.9</v>
      </c>
      <c r="L35">
        <v>2.5600000000000001E-2</v>
      </c>
      <c r="M35">
        <v>981.65</v>
      </c>
      <c r="N35">
        <v>581.58000000000004</v>
      </c>
      <c r="O35">
        <v>3.8237999999999998E-4</v>
      </c>
    </row>
    <row r="36" spans="1:15" x14ac:dyDescent="0.25">
      <c r="A36">
        <v>34000</v>
      </c>
      <c r="B36">
        <v>397.5</v>
      </c>
      <c r="C36">
        <v>-62.2</v>
      </c>
      <c r="D36">
        <v>-52.3</v>
      </c>
      <c r="E36">
        <v>0.76629999999999998</v>
      </c>
      <c r="F36">
        <v>0.24679999999999999</v>
      </c>
      <c r="G36">
        <v>522.28</v>
      </c>
      <c r="H36">
        <v>7.6546000000000003E-4</v>
      </c>
      <c r="I36">
        <v>0.3221</v>
      </c>
      <c r="J36">
        <v>0.5675</v>
      </c>
      <c r="K36">
        <v>365.6</v>
      </c>
      <c r="L36">
        <v>2.46E-2</v>
      </c>
      <c r="M36">
        <v>977.36</v>
      </c>
      <c r="N36">
        <v>579.04</v>
      </c>
      <c r="O36">
        <v>3.9413000000000002E-4</v>
      </c>
    </row>
    <row r="37" spans="1:15" x14ac:dyDescent="0.25">
      <c r="A37">
        <v>35000</v>
      </c>
      <c r="B37">
        <v>393.9</v>
      </c>
      <c r="C37">
        <v>-65.8</v>
      </c>
      <c r="D37">
        <v>-54.3</v>
      </c>
      <c r="E37">
        <v>0.75939999999999996</v>
      </c>
      <c r="F37">
        <v>0.2354</v>
      </c>
      <c r="G37">
        <v>498.16</v>
      </c>
      <c r="H37">
        <v>7.3678000000000003E-4</v>
      </c>
      <c r="I37">
        <v>0.31</v>
      </c>
      <c r="J37">
        <v>0.55679999999999996</v>
      </c>
      <c r="K37">
        <v>348.7</v>
      </c>
      <c r="L37">
        <v>2.3699999999999999E-2</v>
      </c>
      <c r="M37">
        <v>972.92</v>
      </c>
      <c r="N37">
        <v>576.41</v>
      </c>
      <c r="O37">
        <v>4.0636999999999997E-4</v>
      </c>
    </row>
    <row r="38" spans="1:15" x14ac:dyDescent="0.25">
      <c r="A38">
        <v>36000</v>
      </c>
      <c r="B38">
        <v>390.3</v>
      </c>
      <c r="C38">
        <v>-69.400000000000006</v>
      </c>
      <c r="D38">
        <v>-56.3</v>
      </c>
      <c r="E38">
        <v>0.75249999999999995</v>
      </c>
      <c r="F38">
        <v>0.2243</v>
      </c>
      <c r="G38">
        <v>474.67</v>
      </c>
      <c r="H38">
        <v>7.0852000000000003E-4</v>
      </c>
      <c r="I38">
        <v>0.29809999999999998</v>
      </c>
      <c r="J38">
        <v>0.54600000000000004</v>
      </c>
      <c r="K38">
        <v>332.3</v>
      </c>
      <c r="L38">
        <v>2.2800000000000001E-2</v>
      </c>
      <c r="M38">
        <v>968.47</v>
      </c>
      <c r="N38">
        <v>573.78</v>
      </c>
      <c r="O38">
        <v>4.1934999999999997E-4</v>
      </c>
    </row>
    <row r="39" spans="1:15" x14ac:dyDescent="0.25">
      <c r="A39">
        <v>37000</v>
      </c>
      <c r="B39">
        <v>390</v>
      </c>
      <c r="C39">
        <v>-69.7</v>
      </c>
      <c r="D39">
        <v>-56.5</v>
      </c>
      <c r="E39">
        <v>0.75190000000000001</v>
      </c>
      <c r="F39">
        <v>0.21379999999999999</v>
      </c>
      <c r="G39">
        <v>452.45</v>
      </c>
      <c r="H39">
        <v>6.7586999999999996E-4</v>
      </c>
      <c r="I39">
        <v>0.2843</v>
      </c>
      <c r="J39">
        <v>0.53320000000000001</v>
      </c>
      <c r="K39">
        <v>316.7</v>
      </c>
      <c r="L39">
        <v>2.1700000000000001E-2</v>
      </c>
      <c r="M39">
        <v>968.1</v>
      </c>
      <c r="N39">
        <v>573.55999999999995</v>
      </c>
      <c r="O39">
        <v>4.3931999999999999E-4</v>
      </c>
    </row>
    <row r="40" spans="1:15" x14ac:dyDescent="0.25">
      <c r="A40">
        <v>38000</v>
      </c>
      <c r="B40">
        <v>390</v>
      </c>
      <c r="C40">
        <v>-69.7</v>
      </c>
      <c r="D40">
        <v>-56.5</v>
      </c>
      <c r="E40">
        <v>0.75190000000000001</v>
      </c>
      <c r="F40">
        <v>0.20369999999999999</v>
      </c>
      <c r="G40">
        <v>431.07</v>
      </c>
      <c r="H40">
        <v>6.4393000000000002E-4</v>
      </c>
      <c r="I40">
        <v>0.27089999999999997</v>
      </c>
      <c r="J40">
        <v>0.52049999999999996</v>
      </c>
      <c r="K40">
        <v>301.8</v>
      </c>
      <c r="L40">
        <v>2.07E-2</v>
      </c>
      <c r="M40">
        <v>968.1</v>
      </c>
      <c r="N40">
        <v>573.55999999999995</v>
      </c>
      <c r="O40">
        <v>4.6110999999999998E-4</v>
      </c>
    </row>
    <row r="41" spans="1:15" x14ac:dyDescent="0.25">
      <c r="A41">
        <v>39000</v>
      </c>
      <c r="B41">
        <v>390</v>
      </c>
      <c r="C41">
        <v>-69.7</v>
      </c>
      <c r="D41">
        <v>-56.5</v>
      </c>
      <c r="E41">
        <v>0.75190000000000001</v>
      </c>
      <c r="F41">
        <v>0.19420000000000001</v>
      </c>
      <c r="G41">
        <v>410.97</v>
      </c>
      <c r="H41">
        <v>6.1390999999999995E-4</v>
      </c>
      <c r="I41">
        <v>0.25829999999999997</v>
      </c>
      <c r="J41">
        <v>0.50819999999999999</v>
      </c>
      <c r="K41">
        <v>287.7</v>
      </c>
      <c r="L41">
        <v>1.9800000000000002E-2</v>
      </c>
      <c r="M41">
        <v>968.1</v>
      </c>
      <c r="N41">
        <v>573.55999999999995</v>
      </c>
      <c r="O41">
        <v>4.8366000000000001E-4</v>
      </c>
    </row>
    <row r="42" spans="1:15" x14ac:dyDescent="0.25">
      <c r="A42">
        <v>40000</v>
      </c>
      <c r="B42">
        <v>390</v>
      </c>
      <c r="C42">
        <v>-69.7</v>
      </c>
      <c r="D42">
        <v>-56.5</v>
      </c>
      <c r="E42">
        <v>0.75190000000000001</v>
      </c>
      <c r="F42">
        <v>0.18509999999999999</v>
      </c>
      <c r="G42">
        <v>391.71</v>
      </c>
      <c r="H42">
        <v>5.8514000000000005E-4</v>
      </c>
      <c r="I42">
        <v>0.2462</v>
      </c>
      <c r="J42">
        <v>0.49619999999999997</v>
      </c>
      <c r="K42">
        <v>274.2</v>
      </c>
      <c r="L42">
        <v>1.8800000000000001E-2</v>
      </c>
      <c r="M42">
        <v>968.1</v>
      </c>
      <c r="N42">
        <v>573.55999999999995</v>
      </c>
      <c r="O42">
        <v>5.0743999999999995E-4</v>
      </c>
    </row>
    <row r="43" spans="1:15" x14ac:dyDescent="0.25">
      <c r="A43">
        <v>41000</v>
      </c>
      <c r="B43">
        <v>390</v>
      </c>
      <c r="C43">
        <v>-69.7</v>
      </c>
      <c r="D43">
        <v>-56.5</v>
      </c>
      <c r="E43">
        <v>0.75190000000000001</v>
      </c>
      <c r="F43">
        <v>0.1764</v>
      </c>
      <c r="G43">
        <v>373.3</v>
      </c>
      <c r="H43">
        <v>5.5763000000000004E-4</v>
      </c>
      <c r="I43">
        <v>0.2346</v>
      </c>
      <c r="J43">
        <v>0.4844</v>
      </c>
      <c r="K43">
        <v>261.3</v>
      </c>
      <c r="L43">
        <v>1.7899999999999999E-2</v>
      </c>
      <c r="M43">
        <v>968.1</v>
      </c>
      <c r="N43">
        <v>573.55999999999995</v>
      </c>
      <c r="O43">
        <v>5.3248E-4</v>
      </c>
    </row>
    <row r="44" spans="1:15" x14ac:dyDescent="0.25">
      <c r="A44">
        <v>42000</v>
      </c>
      <c r="B44">
        <v>390</v>
      </c>
      <c r="C44">
        <v>-69.7</v>
      </c>
      <c r="D44">
        <v>-56.5</v>
      </c>
      <c r="E44">
        <v>0.75190000000000001</v>
      </c>
      <c r="F44">
        <v>0.1681</v>
      </c>
      <c r="G44">
        <v>355.74</v>
      </c>
      <c r="H44">
        <v>5.3140000000000001E-4</v>
      </c>
      <c r="I44">
        <v>0.22359999999999999</v>
      </c>
      <c r="J44">
        <v>0.47289999999999999</v>
      </c>
      <c r="K44">
        <v>249</v>
      </c>
      <c r="L44">
        <v>1.7100000000000001E-2</v>
      </c>
      <c r="M44">
        <v>968.1</v>
      </c>
      <c r="N44">
        <v>573.55999999999995</v>
      </c>
      <c r="O44">
        <v>5.5876000000000005E-4</v>
      </c>
    </row>
    <row r="45" spans="1:15" x14ac:dyDescent="0.25">
      <c r="A45">
        <v>43000</v>
      </c>
      <c r="B45">
        <v>390</v>
      </c>
      <c r="C45">
        <v>-69.7</v>
      </c>
      <c r="D45">
        <v>-56.5</v>
      </c>
      <c r="E45">
        <v>0.75190000000000001</v>
      </c>
      <c r="F45">
        <v>0.16020000000000001</v>
      </c>
      <c r="G45">
        <v>339.02</v>
      </c>
      <c r="H45">
        <v>5.0642999999999999E-4</v>
      </c>
      <c r="I45">
        <v>0.21310000000000001</v>
      </c>
      <c r="J45">
        <v>0.46160000000000001</v>
      </c>
      <c r="K45">
        <v>237.3</v>
      </c>
      <c r="L45">
        <v>1.6299999999999999E-2</v>
      </c>
      <c r="M45">
        <v>968.1</v>
      </c>
      <c r="N45">
        <v>573.55999999999995</v>
      </c>
      <c r="O45">
        <v>5.8631000000000004E-4</v>
      </c>
    </row>
    <row r="46" spans="1:15" x14ac:dyDescent="0.25">
      <c r="A46">
        <v>44000</v>
      </c>
      <c r="B46">
        <v>390</v>
      </c>
      <c r="C46">
        <v>-69.7</v>
      </c>
      <c r="D46">
        <v>-56.5</v>
      </c>
      <c r="E46">
        <v>0.75190000000000001</v>
      </c>
      <c r="F46">
        <v>0.1527</v>
      </c>
      <c r="G46">
        <v>323.14999999999998</v>
      </c>
      <c r="H46">
        <v>4.8272000000000001E-4</v>
      </c>
      <c r="I46">
        <v>0.2031</v>
      </c>
      <c r="J46">
        <v>0.45069999999999999</v>
      </c>
      <c r="K46">
        <v>226.2</v>
      </c>
      <c r="L46">
        <v>1.55E-2</v>
      </c>
      <c r="M46">
        <v>968.1</v>
      </c>
      <c r="N46">
        <v>573.55999999999995</v>
      </c>
      <c r="O46">
        <v>6.1510999999999998E-4</v>
      </c>
    </row>
    <row r="47" spans="1:15" x14ac:dyDescent="0.25">
      <c r="A47">
        <v>45000</v>
      </c>
      <c r="B47">
        <v>390</v>
      </c>
      <c r="C47">
        <v>-69.7</v>
      </c>
      <c r="D47">
        <v>-56.5</v>
      </c>
      <c r="E47">
        <v>0.75190000000000001</v>
      </c>
      <c r="F47">
        <v>0.14549999999999999</v>
      </c>
      <c r="G47">
        <v>307.91000000000003</v>
      </c>
      <c r="H47">
        <v>4.5995999999999998E-4</v>
      </c>
      <c r="I47">
        <v>0.19350000000000001</v>
      </c>
      <c r="J47">
        <v>0.43990000000000001</v>
      </c>
      <c r="K47">
        <v>215.5</v>
      </c>
      <c r="L47">
        <v>1.4800000000000001E-2</v>
      </c>
      <c r="M47">
        <v>968.1</v>
      </c>
      <c r="N47">
        <v>573.55999999999995</v>
      </c>
      <c r="O47">
        <v>6.4554E-4</v>
      </c>
    </row>
    <row r="48" spans="1:15" x14ac:dyDescent="0.25">
      <c r="A48">
        <v>46000</v>
      </c>
      <c r="B48">
        <v>390</v>
      </c>
      <c r="C48">
        <v>-69.7</v>
      </c>
      <c r="D48">
        <v>-56.5</v>
      </c>
      <c r="E48">
        <v>0.75190000000000001</v>
      </c>
      <c r="F48">
        <v>0.13869999999999999</v>
      </c>
      <c r="G48">
        <v>293.52</v>
      </c>
      <c r="H48">
        <v>4.3846E-4</v>
      </c>
      <c r="I48">
        <v>0.1845</v>
      </c>
      <c r="J48">
        <v>0.42949999999999999</v>
      </c>
      <c r="K48">
        <v>205.5</v>
      </c>
      <c r="L48">
        <v>1.41E-2</v>
      </c>
      <c r="M48">
        <v>968.1</v>
      </c>
      <c r="N48">
        <v>573.55999999999995</v>
      </c>
      <c r="O48">
        <v>6.7719999999999998E-4</v>
      </c>
    </row>
    <row r="49" spans="1:15" x14ac:dyDescent="0.25">
      <c r="A49">
        <v>47000</v>
      </c>
      <c r="B49">
        <v>390</v>
      </c>
      <c r="C49">
        <v>-69.7</v>
      </c>
      <c r="D49">
        <v>-56.5</v>
      </c>
      <c r="E49">
        <v>0.75190000000000001</v>
      </c>
      <c r="F49">
        <v>0.13220000000000001</v>
      </c>
      <c r="G49">
        <v>279.76</v>
      </c>
      <c r="H49">
        <v>4.1790000000000002E-4</v>
      </c>
      <c r="I49">
        <v>0.17580000000000001</v>
      </c>
      <c r="J49">
        <v>0.41930000000000001</v>
      </c>
      <c r="K49">
        <v>195.8</v>
      </c>
      <c r="L49">
        <v>1.34E-2</v>
      </c>
      <c r="M49">
        <v>968.1</v>
      </c>
      <c r="N49">
        <v>573.55999999999995</v>
      </c>
      <c r="O49">
        <v>7.1051000000000003E-4</v>
      </c>
    </row>
    <row r="50" spans="1:15" x14ac:dyDescent="0.25">
      <c r="A50">
        <v>48000</v>
      </c>
      <c r="B50">
        <v>390</v>
      </c>
      <c r="C50">
        <v>-69.7</v>
      </c>
      <c r="D50">
        <v>-56.5</v>
      </c>
      <c r="E50">
        <v>0.75190000000000001</v>
      </c>
      <c r="F50">
        <v>0.12590000000000001</v>
      </c>
      <c r="G50">
        <v>266.43</v>
      </c>
      <c r="H50">
        <v>3.9798999999999998E-4</v>
      </c>
      <c r="I50">
        <v>0.16739999999999999</v>
      </c>
      <c r="J50">
        <v>0.40910000000000002</v>
      </c>
      <c r="K50">
        <v>186.5</v>
      </c>
      <c r="L50">
        <v>1.2800000000000001E-2</v>
      </c>
      <c r="M50">
        <v>968.1</v>
      </c>
      <c r="N50">
        <v>573.55999999999995</v>
      </c>
      <c r="O50">
        <v>7.4606E-4</v>
      </c>
    </row>
    <row r="51" spans="1:15" x14ac:dyDescent="0.25">
      <c r="A51">
        <v>49000</v>
      </c>
      <c r="B51">
        <v>390</v>
      </c>
      <c r="C51">
        <v>-69.7</v>
      </c>
      <c r="D51">
        <v>-56.5</v>
      </c>
      <c r="E51">
        <v>0.75190000000000001</v>
      </c>
      <c r="F51">
        <v>0.12</v>
      </c>
      <c r="G51">
        <v>253.95</v>
      </c>
      <c r="H51">
        <v>3.7934999999999998E-4</v>
      </c>
      <c r="I51">
        <v>0.15959999999999999</v>
      </c>
      <c r="J51">
        <v>0.39950000000000002</v>
      </c>
      <c r="K51">
        <v>177.8</v>
      </c>
      <c r="L51">
        <v>1.2200000000000001E-2</v>
      </c>
      <c r="M51">
        <v>968.1</v>
      </c>
      <c r="N51">
        <v>573.55999999999995</v>
      </c>
      <c r="O51">
        <v>7.8271999999999999E-4</v>
      </c>
    </row>
    <row r="52" spans="1:15" x14ac:dyDescent="0.25">
      <c r="A52">
        <v>50000</v>
      </c>
      <c r="B52">
        <v>390</v>
      </c>
      <c r="C52">
        <v>-69.7</v>
      </c>
      <c r="D52">
        <v>-56.5</v>
      </c>
      <c r="E52">
        <v>0.75190000000000001</v>
      </c>
      <c r="F52">
        <v>0.1144</v>
      </c>
      <c r="G52">
        <v>242.1</v>
      </c>
      <c r="H52">
        <v>3.6164999999999998E-4</v>
      </c>
      <c r="I52">
        <v>0.15210000000000001</v>
      </c>
      <c r="J52">
        <v>0.39</v>
      </c>
      <c r="K52">
        <v>169.5</v>
      </c>
      <c r="L52">
        <v>1.1599999999999999E-2</v>
      </c>
      <c r="M52">
        <v>968.1</v>
      </c>
      <c r="N52">
        <v>573.55999999999995</v>
      </c>
      <c r="O52">
        <v>8.2103000000000005E-4</v>
      </c>
    </row>
    <row r="53" spans="1:15" x14ac:dyDescent="0.25">
      <c r="A53">
        <v>51000</v>
      </c>
      <c r="B53">
        <v>390</v>
      </c>
      <c r="C53">
        <v>-69.7</v>
      </c>
      <c r="D53">
        <v>-56.5</v>
      </c>
      <c r="E53">
        <v>0.75190000000000001</v>
      </c>
      <c r="F53">
        <v>0.109</v>
      </c>
      <c r="G53">
        <v>230.67</v>
      </c>
      <c r="H53">
        <v>3.4456999999999999E-4</v>
      </c>
      <c r="I53">
        <v>0.14499999999999999</v>
      </c>
      <c r="J53">
        <v>0.38080000000000003</v>
      </c>
      <c r="K53">
        <v>161.5</v>
      </c>
      <c r="L53">
        <v>1.11E-2</v>
      </c>
      <c r="M53">
        <v>968.1</v>
      </c>
      <c r="N53">
        <v>573.55999999999995</v>
      </c>
      <c r="O53">
        <v>8.6171999999999996E-4</v>
      </c>
    </row>
    <row r="54" spans="1:15" x14ac:dyDescent="0.25">
      <c r="A54">
        <v>52000</v>
      </c>
      <c r="B54">
        <v>390</v>
      </c>
      <c r="C54">
        <v>-69.7</v>
      </c>
      <c r="D54">
        <v>-56.5</v>
      </c>
      <c r="E54">
        <v>0.75190000000000001</v>
      </c>
      <c r="F54">
        <v>0.10390000000000001</v>
      </c>
      <c r="G54">
        <v>219.88</v>
      </c>
      <c r="H54">
        <v>3.2845999999999998E-4</v>
      </c>
      <c r="I54">
        <v>0.13819999999999999</v>
      </c>
      <c r="J54">
        <v>0.37180000000000002</v>
      </c>
      <c r="K54">
        <v>153.9</v>
      </c>
      <c r="L54">
        <v>1.06E-2</v>
      </c>
      <c r="M54">
        <v>968.1</v>
      </c>
      <c r="N54">
        <v>573.55999999999995</v>
      </c>
      <c r="O54">
        <v>9.0399000000000002E-4</v>
      </c>
    </row>
    <row r="55" spans="1:15" x14ac:dyDescent="0.25">
      <c r="A55">
        <v>53000</v>
      </c>
      <c r="B55">
        <v>390</v>
      </c>
      <c r="C55">
        <v>-69.7</v>
      </c>
      <c r="D55">
        <v>-56.5</v>
      </c>
      <c r="E55">
        <v>0.75190000000000001</v>
      </c>
      <c r="F55">
        <v>9.9000000000000005E-2</v>
      </c>
      <c r="G55">
        <v>209.51</v>
      </c>
      <c r="H55">
        <v>3.1296999999999998E-4</v>
      </c>
      <c r="I55">
        <v>0.13170000000000001</v>
      </c>
      <c r="J55">
        <v>0.3629</v>
      </c>
      <c r="K55">
        <v>146.69999999999999</v>
      </c>
      <c r="L55">
        <v>1.01E-2</v>
      </c>
      <c r="M55">
        <v>968.1</v>
      </c>
      <c r="N55">
        <v>573.55999999999995</v>
      </c>
      <c r="O55">
        <v>9.4872999999999995E-4</v>
      </c>
    </row>
    <row r="56" spans="1:15" x14ac:dyDescent="0.25">
      <c r="A56">
        <v>54000</v>
      </c>
      <c r="B56">
        <v>390</v>
      </c>
      <c r="C56">
        <v>-69.7</v>
      </c>
      <c r="D56">
        <v>-56.5</v>
      </c>
      <c r="E56">
        <v>0.75190000000000001</v>
      </c>
      <c r="F56">
        <v>9.4399999999999998E-2</v>
      </c>
      <c r="G56">
        <v>199.77</v>
      </c>
      <c r="H56">
        <v>2.9841999999999998E-4</v>
      </c>
      <c r="I56">
        <v>0.1255</v>
      </c>
      <c r="J56">
        <v>0.3543</v>
      </c>
      <c r="K56">
        <v>139.80000000000001</v>
      </c>
      <c r="L56">
        <v>9.5999999999999992E-3</v>
      </c>
      <c r="M56">
        <v>968.1</v>
      </c>
      <c r="N56">
        <v>573.55999999999995</v>
      </c>
      <c r="O56">
        <v>9.9499000000000007E-4</v>
      </c>
    </row>
    <row r="57" spans="1:15" x14ac:dyDescent="0.25">
      <c r="A57">
        <v>55000</v>
      </c>
      <c r="B57">
        <v>390</v>
      </c>
      <c r="C57">
        <v>-69.7</v>
      </c>
      <c r="D57">
        <v>-56.5</v>
      </c>
      <c r="E57">
        <v>0.75190000000000001</v>
      </c>
      <c r="F57">
        <v>8.9899999999999994E-2</v>
      </c>
      <c r="G57">
        <v>190.25</v>
      </c>
      <c r="H57">
        <v>2.8418999999999997E-4</v>
      </c>
      <c r="I57">
        <v>0.1196</v>
      </c>
      <c r="J57">
        <v>0.3458</v>
      </c>
      <c r="K57">
        <v>133.19999999999999</v>
      </c>
      <c r="L57">
        <v>9.1000000000000004E-3</v>
      </c>
      <c r="M57">
        <v>968.1</v>
      </c>
      <c r="N57">
        <v>573.55999999999995</v>
      </c>
      <c r="O57">
        <v>1.04481E-3</v>
      </c>
    </row>
    <row r="58" spans="1:15" x14ac:dyDescent="0.25">
      <c r="A58">
        <v>56000</v>
      </c>
      <c r="B58">
        <v>390</v>
      </c>
      <c r="C58">
        <v>-69.7</v>
      </c>
      <c r="D58">
        <v>-56.5</v>
      </c>
      <c r="E58">
        <v>0.75190000000000001</v>
      </c>
      <c r="F58">
        <v>8.5699999999999998E-2</v>
      </c>
      <c r="G58">
        <v>181.36</v>
      </c>
      <c r="H58">
        <v>2.7092000000000001E-4</v>
      </c>
      <c r="I58">
        <v>0.114</v>
      </c>
      <c r="J58">
        <v>0.33760000000000001</v>
      </c>
      <c r="K58">
        <v>127</v>
      </c>
      <c r="L58">
        <v>8.6999999999999994E-3</v>
      </c>
      <c r="M58">
        <v>968.1</v>
      </c>
      <c r="N58">
        <v>573.55999999999995</v>
      </c>
      <c r="O58">
        <v>1.0959800000000001E-3</v>
      </c>
    </row>
    <row r="59" spans="1:15" x14ac:dyDescent="0.25">
      <c r="A59">
        <v>57000</v>
      </c>
      <c r="B59">
        <v>390</v>
      </c>
      <c r="C59">
        <v>-69.7</v>
      </c>
      <c r="D59">
        <v>-56.5</v>
      </c>
      <c r="E59">
        <v>0.75190000000000001</v>
      </c>
      <c r="F59">
        <v>8.1699999999999995E-2</v>
      </c>
      <c r="G59">
        <v>172.9</v>
      </c>
      <c r="H59">
        <v>2.5828E-4</v>
      </c>
      <c r="I59">
        <v>0.1087</v>
      </c>
      <c r="J59">
        <v>0.32969999999999999</v>
      </c>
      <c r="K59">
        <v>121</v>
      </c>
      <c r="L59">
        <v>8.3000000000000001E-3</v>
      </c>
      <c r="M59">
        <v>968.1</v>
      </c>
      <c r="N59">
        <v>573.55999999999995</v>
      </c>
      <c r="O59">
        <v>1.1496200000000001E-3</v>
      </c>
    </row>
    <row r="60" spans="1:15" x14ac:dyDescent="0.25">
      <c r="A60">
        <v>58000</v>
      </c>
      <c r="B60">
        <v>390</v>
      </c>
      <c r="C60">
        <v>-69.7</v>
      </c>
      <c r="D60">
        <v>-56.5</v>
      </c>
      <c r="E60">
        <v>0.75190000000000001</v>
      </c>
      <c r="F60">
        <v>7.7899999999999997E-2</v>
      </c>
      <c r="G60">
        <v>164.85</v>
      </c>
      <c r="H60">
        <v>2.4625E-4</v>
      </c>
      <c r="I60">
        <v>0.1036</v>
      </c>
      <c r="J60">
        <v>0.32190000000000002</v>
      </c>
      <c r="K60">
        <v>115.4</v>
      </c>
      <c r="L60">
        <v>7.9000000000000008E-3</v>
      </c>
      <c r="M60">
        <v>968.1</v>
      </c>
      <c r="N60">
        <v>573.55999999999995</v>
      </c>
      <c r="O60">
        <v>1.20578E-3</v>
      </c>
    </row>
    <row r="61" spans="1:15" x14ac:dyDescent="0.25">
      <c r="A61">
        <v>59000</v>
      </c>
      <c r="B61">
        <v>390</v>
      </c>
      <c r="C61">
        <v>-69.7</v>
      </c>
      <c r="D61">
        <v>-56.5</v>
      </c>
      <c r="E61">
        <v>0.75190000000000001</v>
      </c>
      <c r="F61">
        <v>7.4200000000000002E-2</v>
      </c>
      <c r="G61">
        <v>157.02000000000001</v>
      </c>
      <c r="H61">
        <v>2.3456E-4</v>
      </c>
      <c r="I61">
        <v>9.8699999999999996E-2</v>
      </c>
      <c r="J61">
        <v>0.31419999999999998</v>
      </c>
      <c r="K61">
        <v>109.9</v>
      </c>
      <c r="L61">
        <v>7.4999999999999997E-3</v>
      </c>
      <c r="M61">
        <v>968.1</v>
      </c>
      <c r="N61">
        <v>573.55999999999995</v>
      </c>
      <c r="O61">
        <v>1.26588E-3</v>
      </c>
    </row>
    <row r="62" spans="1:15" x14ac:dyDescent="0.25">
      <c r="A62">
        <v>60000</v>
      </c>
      <c r="B62">
        <v>390</v>
      </c>
      <c r="C62">
        <v>-69.7</v>
      </c>
      <c r="D62">
        <v>-56.5</v>
      </c>
      <c r="E62">
        <v>0.75190000000000001</v>
      </c>
      <c r="F62">
        <v>7.0699999999999999E-2</v>
      </c>
      <c r="G62">
        <v>149.62</v>
      </c>
      <c r="H62">
        <v>2.2350000000000001E-4</v>
      </c>
      <c r="I62">
        <v>9.4E-2</v>
      </c>
      <c r="J62">
        <v>0.30659999999999998</v>
      </c>
      <c r="K62">
        <v>104.7</v>
      </c>
      <c r="L62">
        <v>7.1999999999999998E-3</v>
      </c>
      <c r="M62">
        <v>968.1</v>
      </c>
      <c r="N62">
        <v>573.55999999999995</v>
      </c>
      <c r="O62">
        <v>1.3285199999999999E-3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2CA21-532A-42C1-AF1D-FB25941E0F9A}">
  <dimension ref="A2:G14"/>
  <sheetViews>
    <sheetView workbookViewId="0">
      <selection activeCell="I13" sqref="I13"/>
    </sheetView>
  </sheetViews>
  <sheetFormatPr defaultRowHeight="15" x14ac:dyDescent="0.25"/>
  <cols>
    <col min="1" max="1" width="20.5703125" bestFit="1" customWidth="1"/>
    <col min="3" max="3" width="6.140625" bestFit="1" customWidth="1"/>
    <col min="4" max="4" width="3.28515625" customWidth="1"/>
    <col min="5" max="5" width="21.140625" bestFit="1" customWidth="1"/>
  </cols>
  <sheetData>
    <row r="2" spans="1:7" x14ac:dyDescent="0.25">
      <c r="A2" t="s">
        <v>15</v>
      </c>
      <c r="B2">
        <v>17</v>
      </c>
      <c r="C2" t="s">
        <v>16</v>
      </c>
      <c r="E2" t="s">
        <v>27</v>
      </c>
      <c r="F2">
        <v>55</v>
      </c>
      <c r="G2" t="s">
        <v>28</v>
      </c>
    </row>
    <row r="3" spans="1:7" x14ac:dyDescent="0.25">
      <c r="A3" t="s">
        <v>17</v>
      </c>
      <c r="B3">
        <v>37.799999999999997</v>
      </c>
      <c r="C3" t="s">
        <v>18</v>
      </c>
      <c r="F3">
        <v>370</v>
      </c>
      <c r="G3" t="s">
        <v>29</v>
      </c>
    </row>
    <row r="4" spans="1:7" x14ac:dyDescent="0.25">
      <c r="A4" t="s">
        <v>19</v>
      </c>
      <c r="B4">
        <v>6</v>
      </c>
      <c r="C4" t="s">
        <v>20</v>
      </c>
      <c r="E4" t="s">
        <v>30</v>
      </c>
      <c r="F4">
        <v>960</v>
      </c>
      <c r="G4" t="s">
        <v>29</v>
      </c>
    </row>
    <row r="5" spans="1:7" x14ac:dyDescent="0.25">
      <c r="A5" t="s">
        <v>21</v>
      </c>
      <c r="B5">
        <v>-1.5</v>
      </c>
      <c r="C5" t="s">
        <v>20</v>
      </c>
      <c r="E5" t="s">
        <v>31</v>
      </c>
      <c r="F5">
        <v>900</v>
      </c>
      <c r="G5" t="s">
        <v>29</v>
      </c>
    </row>
    <row r="6" spans="1:7" x14ac:dyDescent="0.25">
      <c r="A6" t="s">
        <v>22</v>
      </c>
      <c r="B6">
        <v>300</v>
      </c>
      <c r="C6" t="s">
        <v>23</v>
      </c>
      <c r="E6" t="s">
        <v>32</v>
      </c>
      <c r="F6">
        <v>1.35</v>
      </c>
    </row>
    <row r="7" spans="1:7" x14ac:dyDescent="0.25">
      <c r="B7">
        <v>260</v>
      </c>
      <c r="C7" t="s">
        <v>24</v>
      </c>
      <c r="E7" t="s">
        <v>33</v>
      </c>
      <c r="F7">
        <v>1.6</v>
      </c>
    </row>
    <row r="8" spans="1:7" x14ac:dyDescent="0.25">
      <c r="A8" t="s">
        <v>26</v>
      </c>
      <c r="B8">
        <v>0.55000000000000004</v>
      </c>
      <c r="E8" t="s">
        <v>34</v>
      </c>
      <c r="F8">
        <v>2</v>
      </c>
    </row>
    <row r="9" spans="1:7" x14ac:dyDescent="0.25">
      <c r="A9" t="s">
        <v>25</v>
      </c>
      <c r="B9">
        <v>26000</v>
      </c>
      <c r="C9" t="s">
        <v>16</v>
      </c>
    </row>
    <row r="11" spans="1:7" x14ac:dyDescent="0.25">
      <c r="A11" t="s">
        <v>36</v>
      </c>
      <c r="B11">
        <v>202</v>
      </c>
      <c r="C11" t="s">
        <v>29</v>
      </c>
      <c r="E11" t="s">
        <v>37</v>
      </c>
      <c r="F11">
        <v>1.3</v>
      </c>
      <c r="G11" t="s">
        <v>38</v>
      </c>
    </row>
    <row r="13" spans="1:7" x14ac:dyDescent="0.25">
      <c r="A13" t="s">
        <v>20</v>
      </c>
      <c r="B13">
        <v>32.173999999999999</v>
      </c>
      <c r="C13" t="s">
        <v>35</v>
      </c>
      <c r="E13" t="s">
        <v>39</v>
      </c>
      <c r="F13" s="1">
        <v>0.02</v>
      </c>
    </row>
    <row r="14" spans="1:7" x14ac:dyDescent="0.25">
      <c r="E14" t="s">
        <v>40</v>
      </c>
      <c r="F14">
        <v>6.2E-2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C219B-95BE-4287-A0F4-9691107983BE}">
  <dimension ref="A2:J26"/>
  <sheetViews>
    <sheetView tabSelected="1" workbookViewId="0">
      <selection activeCell="D25" sqref="D25"/>
    </sheetView>
  </sheetViews>
  <sheetFormatPr defaultRowHeight="15" x14ac:dyDescent="0.25"/>
  <cols>
    <col min="1" max="1" width="42.7109375" customWidth="1"/>
    <col min="2" max="3" width="10.7109375" customWidth="1"/>
    <col min="4" max="5" width="12.7109375" customWidth="1"/>
  </cols>
  <sheetData>
    <row r="2" spans="1:10" x14ac:dyDescent="0.25">
      <c r="A2" s="16" t="s">
        <v>69</v>
      </c>
    </row>
    <row r="3" spans="1:10" x14ac:dyDescent="0.25">
      <c r="A3" s="16" t="s">
        <v>68</v>
      </c>
    </row>
    <row r="5" spans="1:10" ht="15.75" x14ac:dyDescent="0.25">
      <c r="A5" s="9" t="s">
        <v>67</v>
      </c>
      <c r="B5" s="8" t="s">
        <v>57</v>
      </c>
      <c r="C5" s="8" t="s">
        <v>56</v>
      </c>
      <c r="D5" s="8" t="s">
        <v>55</v>
      </c>
      <c r="E5" s="8" t="s">
        <v>54</v>
      </c>
      <c r="G5" t="s">
        <v>70</v>
      </c>
      <c r="H5" t="s">
        <v>71</v>
      </c>
      <c r="I5" t="s">
        <v>73</v>
      </c>
      <c r="J5" t="s">
        <v>72</v>
      </c>
    </row>
    <row r="6" spans="1:10" ht="15.75" x14ac:dyDescent="0.25">
      <c r="A6" s="5" t="s">
        <v>66</v>
      </c>
      <c r="B6" s="7" t="s">
        <v>50</v>
      </c>
      <c r="C6" s="6" t="s">
        <v>49</v>
      </c>
      <c r="D6" s="19" cm="1">
        <f t="array" ref="D6">SQRT((2*960)/(linterp(0,atmos_h,atmos_rho)*wingarea*cltakeoff))</f>
        <v>115.5699031398384</v>
      </c>
      <c r="E6" s="19" cm="1">
        <f t="array" ref="E6">SQRT((2*960)/(linterp(2000,atmos_h,atmos_rho)*wingarea*cltakeoff))</f>
        <v>119.01069957945735</v>
      </c>
    </row>
    <row r="7" spans="1:10" ht="15.75" x14ac:dyDescent="0.25">
      <c r="A7" s="5" t="s">
        <v>48</v>
      </c>
      <c r="B7" s="4" t="s">
        <v>47</v>
      </c>
      <c r="C7" s="3" t="s">
        <v>46</v>
      </c>
      <c r="D7" s="17" cm="1">
        <f t="array" ref="D7">D6/linterp(0,atmos_h,atmos_aspeed)</f>
        <v>0.10351459357239703</v>
      </c>
      <c r="E7" s="17" cm="1">
        <f t="array" ref="E7">E6/linterp(2000,atmos_h,atmos_aspeed)</f>
        <v>0.10733385003423314</v>
      </c>
    </row>
    <row r="8" spans="1:10" ht="15.75" x14ac:dyDescent="0.25">
      <c r="A8" s="5" t="s">
        <v>65</v>
      </c>
      <c r="B8" s="7" t="s">
        <v>50</v>
      </c>
      <c r="C8" s="6" t="s">
        <v>49</v>
      </c>
      <c r="D8" s="19">
        <f>1.05*D6</f>
        <v>121.34839829683033</v>
      </c>
      <c r="E8" s="19">
        <f>1.05*E6</f>
        <v>124.96123455843022</v>
      </c>
    </row>
    <row r="9" spans="1:10" ht="15.75" x14ac:dyDescent="0.25">
      <c r="A9" s="5" t="s">
        <v>48</v>
      </c>
      <c r="B9" s="4" t="s">
        <v>47</v>
      </c>
      <c r="C9" s="3" t="s">
        <v>46</v>
      </c>
      <c r="D9" s="17" cm="1">
        <f t="array" ref="D9">D8/linterp(0,atmos_h,atmos_aspeed)</f>
        <v>0.10869032325101689</v>
      </c>
      <c r="E9" s="17" cm="1">
        <f t="array" ref="E9">E8/linterp(2000,atmos_h,atmos_aspeed)</f>
        <v>0.11270054253594479</v>
      </c>
    </row>
    <row r="10" spans="1:10" ht="15.75" x14ac:dyDescent="0.25">
      <c r="A10" s="5" t="s">
        <v>64</v>
      </c>
      <c r="B10" s="7" t="s">
        <v>50</v>
      </c>
      <c r="C10" s="6" t="s">
        <v>49</v>
      </c>
      <c r="D10" s="19">
        <f>1.1*D6</f>
        <v>127.12689345382225</v>
      </c>
      <c r="E10" s="19">
        <f>1.1*E6</f>
        <v>130.9117695374031</v>
      </c>
    </row>
    <row r="11" spans="1:10" ht="15.75" x14ac:dyDescent="0.25">
      <c r="A11" s="5" t="s">
        <v>48</v>
      </c>
      <c r="B11" s="4" t="s">
        <v>47</v>
      </c>
      <c r="C11" s="3" t="s">
        <v>46</v>
      </c>
      <c r="D11" s="17" cm="1">
        <f t="array" ref="D11">D10/linterp(0,atmos_h,atmos_aspeed)</f>
        <v>0.11386605292963675</v>
      </c>
      <c r="E11" s="17" cm="1">
        <f t="array" ref="E11">E10/linterp(2000,atmos_h,atmos_aspeed)</f>
        <v>0.11806723503765647</v>
      </c>
    </row>
    <row r="12" spans="1:10" ht="18" x14ac:dyDescent="0.25">
      <c r="A12" s="5" t="s">
        <v>63</v>
      </c>
      <c r="B12" s="15" t="s">
        <v>62</v>
      </c>
      <c r="C12" s="14" t="s">
        <v>61</v>
      </c>
      <c r="D12" s="18">
        <f>(G12-H12-J12)/(960/g)</f>
        <v>6.0275773824024368</v>
      </c>
      <c r="E12" s="18">
        <f>(G13-H13-J13)/(960/g)</f>
        <v>5.6417056670811974</v>
      </c>
      <c r="G12" cm="1">
        <f t="array" ref="G12">tsl*linterp(0,atmos_h,atmos_dr)</f>
        <v>202</v>
      </c>
      <c r="H12" cm="1">
        <f t="array" ref="H12">(CD0+0.0148)*(linterp(0,atmos_h,atmos_qms)*((0.7*D10)/linterp(0,atmos_h,atmos_aspeed))^2)*wingarea</f>
        <v>12.380209588290558</v>
      </c>
      <c r="I12" cm="1">
        <f t="array" ref="I12">cltakeoff*((linterp(0,atmos_h,atmos_rho)*((0.7*D10)^2))/2)*wingarea</f>
        <v>569.18399999999986</v>
      </c>
      <c r="J12">
        <f>0.025*(960-I12)</f>
        <v>9.770400000000004</v>
      </c>
    </row>
    <row r="13" spans="1:10" ht="18.75" x14ac:dyDescent="0.25">
      <c r="A13" s="5" t="s">
        <v>60</v>
      </c>
      <c r="B13" s="7"/>
      <c r="C13" s="7"/>
      <c r="D13" s="2"/>
      <c r="E13" s="2"/>
      <c r="G13" cm="1">
        <f t="array" ref="G13">tsl*linterp(2000,atmos_h,atmos_dr)</f>
        <v>190.48599999999999</v>
      </c>
      <c r="H13" cm="1">
        <f t="array" ref="H13">(CD0+0.0148)*(linterp(2000,atmos_h,atmos_qms)*((0.7*E10)/linterp(2000,atmos_h,atmos_aspeed))^2)*wingarea</f>
        <v>12.37975613856066</v>
      </c>
      <c r="I13" cm="1">
        <f t="array" ref="I13">cltakeoff*((linterp(2000,atmos_h,atmos_rho)*((0.7*E10)^2))/2)*wingarea</f>
        <v>569.18400000000008</v>
      </c>
      <c r="J13">
        <f>0.025*(960-I13)</f>
        <v>9.7703999999999986</v>
      </c>
    </row>
    <row r="14" spans="1:10" ht="15.75" x14ac:dyDescent="0.25">
      <c r="A14" s="5" t="s">
        <v>59</v>
      </c>
      <c r="B14" s="4" t="s">
        <v>16</v>
      </c>
      <c r="C14" s="3" t="s">
        <v>41</v>
      </c>
      <c r="D14" s="20">
        <f>(D10^2)/(2*D12)</f>
        <v>1340.6088394984668</v>
      </c>
      <c r="E14" s="20">
        <f>(E10^2)/(2*E12)</f>
        <v>1518.8572760372867</v>
      </c>
    </row>
    <row r="15" spans="1:10" ht="15.75" x14ac:dyDescent="0.25">
      <c r="A15" s="13"/>
      <c r="B15" s="12"/>
      <c r="C15" s="11"/>
      <c r="D15" s="10"/>
      <c r="E15" s="10"/>
    </row>
    <row r="16" spans="1:10" ht="15.75" x14ac:dyDescent="0.25">
      <c r="A16" s="9" t="s">
        <v>58</v>
      </c>
      <c r="B16" s="8" t="s">
        <v>57</v>
      </c>
      <c r="C16" s="8" t="s">
        <v>56</v>
      </c>
      <c r="D16" s="8" t="s">
        <v>55</v>
      </c>
      <c r="E16" s="8" t="s">
        <v>54</v>
      </c>
    </row>
    <row r="17" spans="1:5" ht="15.75" x14ac:dyDescent="0.25">
      <c r="A17" s="5" t="s">
        <v>53</v>
      </c>
      <c r="B17" s="7" t="s">
        <v>50</v>
      </c>
      <c r="C17" s="6" t="s">
        <v>49</v>
      </c>
      <c r="D17" s="19" cm="1">
        <f t="array" ref="D17">SQRT((2*660)/(linterp(0,atmos_h,atmos_rho)*wingarea*cllanding))</f>
        <v>85.708934081946197</v>
      </c>
      <c r="E17" s="19" cm="1">
        <f t="array" ref="E17">SQRT((2*660)/(linterp(2000,atmos_h,atmos_rho)*wingarea*cllanding))</f>
        <v>88.260697016936803</v>
      </c>
    </row>
    <row r="18" spans="1:5" ht="15.75" x14ac:dyDescent="0.25">
      <c r="A18" s="5" t="s">
        <v>48</v>
      </c>
      <c r="B18" s="4" t="s">
        <v>47</v>
      </c>
      <c r="C18" s="3" t="s">
        <v>46</v>
      </c>
      <c r="D18" s="17" cm="1">
        <f t="array" ref="D18">D17/linterp(0,atmos_h,atmos_aspeed)</f>
        <v>7.6768477224393339E-2</v>
      </c>
      <c r="E18" s="17" cm="1">
        <f t="array" ref="E18">E17/linterp(2000,atmos_h,atmos_aspeed)</f>
        <v>7.9600913623803254E-2</v>
      </c>
    </row>
    <row r="19" spans="1:5" ht="15.75" x14ac:dyDescent="0.25">
      <c r="A19" s="5" t="s">
        <v>52</v>
      </c>
      <c r="B19" s="7" t="s">
        <v>50</v>
      </c>
      <c r="C19" s="6" t="s">
        <v>49</v>
      </c>
      <c r="D19" s="19">
        <f>1.3*D17</f>
        <v>111.42161430653006</v>
      </c>
      <c r="E19" s="19">
        <f>1.3*E17</f>
        <v>114.73890612201785</v>
      </c>
    </row>
    <row r="20" spans="1:5" ht="15.75" x14ac:dyDescent="0.25">
      <c r="A20" s="5" t="s">
        <v>48</v>
      </c>
      <c r="B20" s="4" t="s">
        <v>47</v>
      </c>
      <c r="C20" s="3" t="s">
        <v>46</v>
      </c>
      <c r="D20" s="17" cm="1">
        <f t="array" ref="D20">D19/linterp(0,atmos_h,atmos_aspeed)</f>
        <v>9.9799020391711346E-2</v>
      </c>
      <c r="E20" s="17" cm="1">
        <f t="array" ref="E20">E19/linterp(2000,atmos_h,atmos_aspeed)</f>
        <v>0.10348118771094424</v>
      </c>
    </row>
    <row r="21" spans="1:5" ht="15.75" x14ac:dyDescent="0.25">
      <c r="A21" s="5" t="s">
        <v>51</v>
      </c>
      <c r="B21" s="7" t="s">
        <v>50</v>
      </c>
      <c r="C21" s="6" t="s">
        <v>49</v>
      </c>
      <c r="D21" s="19">
        <f>1.15*D17</f>
        <v>98.565274194238114</v>
      </c>
      <c r="E21" s="19">
        <f>1.15*E17</f>
        <v>101.49980156947731</v>
      </c>
    </row>
    <row r="22" spans="1:5" ht="15.75" x14ac:dyDescent="0.25">
      <c r="A22" s="5" t="s">
        <v>48</v>
      </c>
      <c r="B22" s="4" t="s">
        <v>47</v>
      </c>
      <c r="C22" s="3" t="s">
        <v>46</v>
      </c>
      <c r="D22" s="17" cm="1">
        <f t="array" ref="D22">D21/linterp(0,atmos_h,atmos_aspeed)</f>
        <v>8.8283748808052342E-2</v>
      </c>
      <c r="E22" s="17" cm="1">
        <f t="array" ref="E22">E21/linterp(2000,atmos_h,atmos_aspeed)</f>
        <v>9.1541050667373725E-2</v>
      </c>
    </row>
    <row r="23" spans="1:5" ht="15.75" x14ac:dyDescent="0.25">
      <c r="A23" s="5" t="s">
        <v>45</v>
      </c>
      <c r="B23" s="4" t="s">
        <v>16</v>
      </c>
      <c r="C23" s="3" t="s">
        <v>41</v>
      </c>
      <c r="D23" s="20">
        <f>3*D21</f>
        <v>295.69582258271436</v>
      </c>
      <c r="E23" s="20">
        <f>3*E21</f>
        <v>304.49940470843194</v>
      </c>
    </row>
    <row r="24" spans="1:5" ht="15.75" x14ac:dyDescent="0.25">
      <c r="A24" s="5" t="s">
        <v>44</v>
      </c>
      <c r="B24" s="4" t="s">
        <v>16</v>
      </c>
      <c r="C24" s="3" t="s">
        <v>41</v>
      </c>
      <c r="D24" s="20">
        <f>(D21^2)/(2*g*0.3)</f>
        <v>503.25901229695523</v>
      </c>
      <c r="E24" s="20">
        <f>(E21^2)/(2*g*0.3)</f>
        <v>533.67158361012366</v>
      </c>
    </row>
    <row r="25" spans="1:5" ht="18.75" x14ac:dyDescent="0.25">
      <c r="A25" s="5" t="s">
        <v>43</v>
      </c>
      <c r="B25" s="4"/>
      <c r="C25" s="3"/>
      <c r="D25" s="2"/>
      <c r="E25" s="2"/>
    </row>
    <row r="26" spans="1:5" ht="15.75" x14ac:dyDescent="0.25">
      <c r="A26" s="5" t="s">
        <v>42</v>
      </c>
      <c r="B26" s="4" t="s">
        <v>16</v>
      </c>
      <c r="C26" s="3" t="s">
        <v>41</v>
      </c>
      <c r="D26" s="20">
        <f>D23+D24</f>
        <v>798.95483487966953</v>
      </c>
      <c r="E26" s="20">
        <f>E23+E24</f>
        <v>838.1709883185556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732851-F1E1-4605-A0FB-76F5345BCEE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27</vt:i4>
      </vt:variant>
    </vt:vector>
  </HeadingPairs>
  <TitlesOfParts>
    <vt:vector size="30" baseType="lpstr">
      <vt:lpstr>Altitude Table</vt:lpstr>
      <vt:lpstr>Bede BD-5J Stats</vt:lpstr>
      <vt:lpstr>HW15 - Takeoff &amp; Landing</vt:lpstr>
      <vt:lpstr>atmos_aspeed</vt:lpstr>
      <vt:lpstr>atmos_dr</vt:lpstr>
      <vt:lpstr>atmos_h</vt:lpstr>
      <vt:lpstr>atmos_qms</vt:lpstr>
      <vt:lpstr>atmos_rho</vt:lpstr>
      <vt:lpstr>atmos_sqrtdr</vt:lpstr>
      <vt:lpstr>atmos_vela</vt:lpstr>
      <vt:lpstr>CD0</vt:lpstr>
      <vt:lpstr>ceiling</vt:lpstr>
      <vt:lpstr>clflight</vt:lpstr>
      <vt:lpstr>cllanding</vt:lpstr>
      <vt:lpstr>cltakeoff</vt:lpstr>
      <vt:lpstr>fuelmass</vt:lpstr>
      <vt:lpstr>fuelvol</vt:lpstr>
      <vt:lpstr>g</vt:lpstr>
      <vt:lpstr>K</vt:lpstr>
      <vt:lpstr>maxkeas</vt:lpstr>
      <vt:lpstr>maxload</vt:lpstr>
      <vt:lpstr>maxmach</vt:lpstr>
      <vt:lpstr>maxmph</vt:lpstr>
      <vt:lpstr>maxweight</vt:lpstr>
      <vt:lpstr>minload</vt:lpstr>
      <vt:lpstr>perfweight</vt:lpstr>
      <vt:lpstr>sfcsl</vt:lpstr>
      <vt:lpstr>tsl</vt:lpstr>
      <vt:lpstr>wingarea</vt:lpstr>
      <vt:lpstr>wingspan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Kavouras</dc:creator>
  <cp:lastModifiedBy>Kavouras, Benjamin (kavourbm)</cp:lastModifiedBy>
  <dcterms:created xsi:type="dcterms:W3CDTF">2015-06-05T18:17:20Z</dcterms:created>
  <dcterms:modified xsi:type="dcterms:W3CDTF">2024-03-04T17:02:40Z</dcterms:modified>
</cp:coreProperties>
</file>