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B63D3913-6CB4-4351-B39F-D002A6979EB4}" xr6:coauthVersionLast="47" xr6:coauthVersionMax="47" xr10:uidLastSave="{00000000-0000-0000-0000-000000000000}"/>
  <bookViews>
    <workbookView xWindow="14295" yWindow="0" windowWidth="14610" windowHeight="17505" firstSheet="1" activeTab="2" xr2:uid="{00000000-000D-0000-FFFF-FFFF00000000}"/>
  </bookViews>
  <sheets>
    <sheet name="Altitude Table" sheetId="2" r:id="rId1"/>
    <sheet name="Bede BD-5J Stats" sheetId="3" r:id="rId2"/>
    <sheet name="HW14 - Maneuver" sheetId="4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CD0">'Bede BD-5J Stats'!$F$13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K">'Bede BD-5J Stats'!$F$14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4" l="1"/>
  <c r="D19" i="4"/>
  <c r="E18" i="4"/>
  <c r="D18" i="4"/>
  <c r="E17" i="4"/>
  <c r="D17" i="4"/>
  <c r="E14" i="4"/>
  <c r="D14" i="4"/>
  <c r="E28" i="4" a="1"/>
  <c r="E29" i="4" a="1"/>
  <c r="E27" i="4" a="1"/>
  <c r="D28" i="4" a="1"/>
  <c r="D29" i="4" a="1"/>
  <c r="D27" i="4" a="1"/>
  <c r="C29" i="4" a="1"/>
  <c r="C28" i="4" a="1"/>
  <c r="C27" i="4" a="1"/>
  <c r="I29" i="4" a="1"/>
  <c r="I28" i="4" a="1"/>
  <c r="I27" i="4" a="1"/>
  <c r="H28" i="4" a="1"/>
  <c r="H29" i="4" a="1"/>
  <c r="H27" i="4" a="1"/>
  <c r="G27" i="4" a="1"/>
  <c r="E16" i="4" a="1"/>
  <c r="D16" i="4" a="1"/>
  <c r="E15" i="4" a="1"/>
  <c r="D15" i="4" a="1"/>
  <c r="G7" i="4" a="1"/>
  <c r="G6" i="4" a="1"/>
  <c r="E29" i="4" l="1"/>
  <c r="E28" i="4"/>
  <c r="E27" i="4"/>
  <c r="D29" i="4"/>
  <c r="D28" i="4"/>
  <c r="D27" i="4"/>
  <c r="C28" i="4"/>
  <c r="C29" i="4"/>
  <c r="C27" i="4"/>
  <c r="I28" i="4"/>
  <c r="I29" i="4"/>
  <c r="I27" i="4"/>
  <c r="H29" i="4"/>
  <c r="H28" i="4"/>
  <c r="H27" i="4"/>
  <c r="G27" i="4"/>
  <c r="E16" i="4"/>
  <c r="D16" i="4"/>
  <c r="E15" i="4"/>
  <c r="D15" i="4"/>
  <c r="G7" i="4"/>
  <c r="E6" i="4" s="1"/>
  <c r="G6" i="4"/>
  <c r="D6" i="4" s="1"/>
  <c r="E7" i="4" a="1"/>
  <c r="D7" i="4" a="1"/>
  <c r="D7" i="4" l="1"/>
  <c r="E7" i="4"/>
  <c r="D9" i="4"/>
  <c r="D10" i="4"/>
  <c r="E10" i="4"/>
  <c r="E9" i="4"/>
  <c r="D8" i="4" a="1"/>
  <c r="E8" i="4" a="1"/>
  <c r="E8" i="4" l="1"/>
  <c r="D8" i="4"/>
  <c r="E11" i="4"/>
  <c r="D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<sst xmlns="http://schemas.openxmlformats.org/spreadsheetml/2006/main" count="110" uniqueCount="80">
  <si>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</si>
  <si>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</si>
  <si>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</si>
  <si>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</si>
  <si>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</si>
  <si>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</si>
  <si>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</si>
  <si>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</si>
  <si>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</si>
  <si>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</si>
  <si>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</si>
  <si>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</si>
  <si>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</si>
  <si>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</si>
  <si>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</si>
  <si>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</si>
  <si>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</si>
  <si>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</si>
  <si>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</si>
  <si>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</si>
  <si>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</si>
  <si>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</si>
  <si>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</si>
  <si>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</si>
  <si>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</si>
  <si>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</si>
  <si>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</si>
  <si>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</si>
  <si>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</si>
  <si>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</si>
  <si>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</si>
  <si>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</si>
  <si>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</si>
  <si>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</si>
  <si>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</si>
  <si>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</si>
  <si>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</si>
  <si>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</si>
  <si>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</si>
  <si>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CD0</t>
  </si>
  <si>
    <t>K</t>
  </si>
  <si>
    <t>X</t>
  </si>
  <si>
    <t>X.YY</t>
  </si>
  <si>
    <t>(ft)</t>
  </si>
  <si>
    <t>(deg/sec)</t>
  </si>
  <si>
    <t>(ft/sec)</t>
  </si>
  <si>
    <t>(g's)</t>
  </si>
  <si>
    <t>Turn Radius</t>
  </si>
  <si>
    <t>Turn Rate</t>
  </si>
  <si>
    <r>
      <t>P</t>
    </r>
    <r>
      <rPr>
        <b/>
        <vertAlign val="subscript"/>
        <sz val="12"/>
        <color theme="1"/>
        <rFont val="Calibri"/>
        <family val="2"/>
        <scheme val="minor"/>
      </rPr>
      <t>s</t>
    </r>
  </si>
  <si>
    <t>Load Factor</t>
  </si>
  <si>
    <t>Part c: Flight Condition 0.25M / SL</t>
  </si>
  <si>
    <t>Minimum Turn Radius at Corner Velocity</t>
  </si>
  <si>
    <t>deg/sec</t>
  </si>
  <si>
    <t>Maximum Turn Rate at Corner Velocity</t>
  </si>
  <si>
    <t>X.Y</t>
  </si>
  <si>
    <t>deg</t>
  </si>
  <si>
    <t>Bank Angle</t>
  </si>
  <si>
    <t>X.YYYY</t>
  </si>
  <si>
    <t>---</t>
  </si>
  <si>
    <t xml:space="preserve">     Mach Number</t>
  </si>
  <si>
    <t xml:space="preserve"> ft/sec</t>
  </si>
  <si>
    <t>Corner Velocity</t>
  </si>
  <si>
    <t>g's</t>
  </si>
  <si>
    <t>Maximum Instantaneous Load Factor</t>
  </si>
  <si>
    <t>10,000 ft</t>
  </si>
  <si>
    <t>Sea Level</t>
  </si>
  <si>
    <t>Units</t>
  </si>
  <si>
    <t>Part b: Instantaneous Turn Capabilities</t>
  </si>
  <si>
    <t>Sustained Turn Radius</t>
  </si>
  <si>
    <t>Sustained Turn Rate</t>
  </si>
  <si>
    <t>Velocity for Maximum Sustained Load Factor</t>
  </si>
  <si>
    <t>Maximum Sustained Load Factor</t>
  </si>
  <si>
    <t>Format</t>
  </si>
  <si>
    <t>Part a: Sustained Turn Capabilities</t>
  </si>
  <si>
    <t>Maneuver</t>
  </si>
  <si>
    <t>Homework #14</t>
  </si>
  <si>
    <t>Thrust</t>
  </si>
  <si>
    <t>Cl</t>
  </si>
  <si>
    <t>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</si>
</sst>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9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4" fontId="3" fillId="3" borderId="1" xfId="0" applyNumberFormat="1" applyFont="1" applyFill="1" applyBorder="1" applyAlignment="1">
      <alignment horizontal="center"/>
    </xf>
    <xf numFmtId="2" fontId="3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4" fontId="2" fillId="3" borderId="1" xfId="0" applyNumberFormat="1" applyFont="1" applyFill="1" applyBorder="1" applyAlignment="1">
      <alignment horizontal="center"/>
    </xf>
    <xf numFmtId="2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0" borderId="1" xfId="0" quotePrefix="1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2" fillId="3" borderId="1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169" fontId="2" fillId="2" borderId="1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I1" workbookViewId="0">
      <selection activeCell="N2" sqref="N2:N6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4"/>
  <sheetViews>
    <sheetView workbookViewId="0">
      <selection activeCell="D42" sqref="D42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  <c r="E13" t="s">
        <v>39</v>
      </c>
      <c r="F13" s="1">
        <v>0.02</v>
      </c>
    </row>
    <row r="14" spans="1:7" x14ac:dyDescent="0.25">
      <c r="E14" t="s">
        <v>40</v>
      </c>
      <c r="F14">
        <v>6.2E-2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2A3CC-57E3-489A-BABA-60341E95E0F3}">
  <dimension ref="A2:I29"/>
  <sheetViews>
    <sheetView tabSelected="1" workbookViewId="0">
      <selection activeCell="E24" sqref="E24"/>
    </sheetView>
  </sheetViews>
  <sheetFormatPr defaultRowHeight="15" x14ac:dyDescent="0.25"/>
  <cols>
    <col min="1" max="1" width="45.7109375" customWidth="1"/>
    <col min="2" max="5" width="12.7109375" customWidth="1"/>
  </cols>
  <sheetData>
    <row r="2" spans="1:7" x14ac:dyDescent="0.25">
      <c r="A2" s="19" t="s">
        <v>76</v>
      </c>
    </row>
    <row r="3" spans="1:7" x14ac:dyDescent="0.25">
      <c r="A3" s="19" t="s">
        <v>75</v>
      </c>
    </row>
    <row r="4" spans="1:7" ht="15.75" thickBot="1" x14ac:dyDescent="0.3"/>
    <row r="5" spans="1:7" ht="16.5" thickBot="1" x14ac:dyDescent="0.3">
      <c r="A5" s="15" t="s">
        <v>74</v>
      </c>
      <c r="B5" s="9" t="s">
        <v>67</v>
      </c>
      <c r="C5" s="9" t="s">
        <v>73</v>
      </c>
      <c r="D5" s="9" t="s">
        <v>66</v>
      </c>
      <c r="E5" s="9" t="s">
        <v>65</v>
      </c>
      <c r="G5" t="s">
        <v>77</v>
      </c>
    </row>
    <row r="6" spans="1:7" ht="16.5" thickBot="1" x14ac:dyDescent="0.3">
      <c r="A6" s="13" t="s">
        <v>72</v>
      </c>
      <c r="B6" s="3" t="s">
        <v>63</v>
      </c>
      <c r="C6" s="14" t="s">
        <v>42</v>
      </c>
      <c r="D6" s="21">
        <f>(G6/perfweight)*SQRT(1/(4*CD0*K))</f>
        <v>3.186896958830753</v>
      </c>
      <c r="E6" s="21">
        <f>(G7/perfweight)*SQRT(1/(4*CD0*K))</f>
        <v>2.3528860247047447</v>
      </c>
      <c r="G6" cm="1">
        <f t="array" ref="G6">tsl*linterp(0,atmos_h,atmos_dr)</f>
        <v>202</v>
      </c>
    </row>
    <row r="7" spans="1:7" ht="16.5" thickBot="1" x14ac:dyDescent="0.3">
      <c r="A7" s="13" t="s">
        <v>71</v>
      </c>
      <c r="B7" s="3" t="s">
        <v>61</v>
      </c>
      <c r="C7" s="14" t="s">
        <v>55</v>
      </c>
      <c r="D7" s="22" cm="1">
        <f t="array" ref="D7">SQRT((2/linterp(0,atmos_h,atmos_rho))*SQRT(K/CD0)*((D6*perfweight)/wingarea))</f>
        <v>335.28553175948844</v>
      </c>
      <c r="E7" s="22" cm="1">
        <f t="array" ref="E7">SQRT((2/linterp(10000,atmos_h,atmos_rho))*SQRT(K/CD0)*((E6*perfweight)/wingarea))</f>
        <v>335.28180337189917</v>
      </c>
      <c r="G7" cm="1">
        <f t="array" ref="G7">tsl*linterp(10000,atmos_h,atmos_dr)</f>
        <v>149.13659999999999</v>
      </c>
    </row>
    <row r="8" spans="1:7" ht="16.5" thickBot="1" x14ac:dyDescent="0.3">
      <c r="A8" s="13" t="s">
        <v>60</v>
      </c>
      <c r="B8" s="12" t="s">
        <v>59</v>
      </c>
      <c r="C8" s="11" t="s">
        <v>58</v>
      </c>
      <c r="D8" s="20" cm="1">
        <f t="array" ref="D8">D7/linterp(0,atmos_h,atmos_aspeed)</f>
        <v>0.30031128008122854</v>
      </c>
      <c r="E8" s="20" cm="1">
        <f t="array" ref="E8">E7/linterp(10000,atmos_h,atmos_aspeed)</f>
        <v>0.31120684206940968</v>
      </c>
    </row>
    <row r="9" spans="1:7" ht="16.5" thickBot="1" x14ac:dyDescent="0.3">
      <c r="A9" s="13" t="s">
        <v>57</v>
      </c>
      <c r="B9" s="3" t="s">
        <v>56</v>
      </c>
      <c r="C9" s="14" t="s">
        <v>55</v>
      </c>
      <c r="D9" s="22">
        <f>DEGREES(ACOS(1/D6))</f>
        <v>71.712527820095744</v>
      </c>
      <c r="E9" s="22">
        <f>DEGREES(ACOS(1/E6))</f>
        <v>64.848706022455161</v>
      </c>
    </row>
    <row r="10" spans="1:7" ht="16.5" thickBot="1" x14ac:dyDescent="0.3">
      <c r="A10" s="13" t="s">
        <v>70</v>
      </c>
      <c r="B10" s="3" t="s">
        <v>53</v>
      </c>
      <c r="C10" s="14" t="s">
        <v>42</v>
      </c>
      <c r="D10" s="21">
        <f>DEGREES((g*SQRT((D6^(2))-1))/D7)</f>
        <v>16.63692939340384</v>
      </c>
      <c r="E10" s="21">
        <f>DEGREES((g*SQRT((E6^(2))-1))/E7)</f>
        <v>11.710021884546279</v>
      </c>
    </row>
    <row r="11" spans="1:7" ht="16.5" thickBot="1" x14ac:dyDescent="0.3">
      <c r="A11" s="13" t="s">
        <v>69</v>
      </c>
      <c r="B11" s="12" t="s">
        <v>16</v>
      </c>
      <c r="C11" s="11" t="s">
        <v>41</v>
      </c>
      <c r="D11" s="23">
        <f>(D7^2)/(g*SQRT((D6^2)-1))</f>
        <v>1154.6869886479599</v>
      </c>
      <c r="E11" s="23">
        <f>(E7^2)/(g*SQRT((E6^2)-1))</f>
        <v>1640.494993958697</v>
      </c>
    </row>
    <row r="12" spans="1:7" ht="16.5" thickBot="1" x14ac:dyDescent="0.3">
      <c r="A12" s="18"/>
      <c r="B12" s="17"/>
      <c r="C12" s="17"/>
      <c r="D12" s="17"/>
      <c r="E12" s="16"/>
    </row>
    <row r="13" spans="1:7" ht="16.5" thickBot="1" x14ac:dyDescent="0.3">
      <c r="A13" s="15" t="s">
        <v>68</v>
      </c>
      <c r="B13" s="9" t="s">
        <v>67</v>
      </c>
      <c r="C13" s="9"/>
      <c r="D13" s="9" t="s">
        <v>66</v>
      </c>
      <c r="E13" s="9" t="s">
        <v>65</v>
      </c>
    </row>
    <row r="14" spans="1:7" ht="16.5" thickBot="1" x14ac:dyDescent="0.3">
      <c r="A14" s="13" t="s">
        <v>64</v>
      </c>
      <c r="B14" s="3" t="s">
        <v>63</v>
      </c>
      <c r="C14" s="14" t="s">
        <v>42</v>
      </c>
      <c r="D14" s="21">
        <f>maxload</f>
        <v>6</v>
      </c>
      <c r="E14" s="21">
        <f>maxload</f>
        <v>6</v>
      </c>
    </row>
    <row r="15" spans="1:7" ht="16.5" thickBot="1" x14ac:dyDescent="0.3">
      <c r="A15" s="13" t="s">
        <v>62</v>
      </c>
      <c r="B15" s="3" t="s">
        <v>61</v>
      </c>
      <c r="C15" s="14" t="s">
        <v>55</v>
      </c>
      <c r="D15" s="22" cm="1">
        <f t="array" ref="D15">SQRT((2*D14*(perfweight/wingarea))/(linterp(0,atmos_h,atmos_rho)*clflight))</f>
        <v>298.40020678893228</v>
      </c>
      <c r="E15" s="22" cm="1">
        <f t="array" ref="E15">SQRT((2*E14*(perfweight/wingarea))/(linterp(10000,atmos_h,atmos_rho)*clflight))</f>
        <v>347.27846734904989</v>
      </c>
    </row>
    <row r="16" spans="1:7" ht="16.5" thickBot="1" x14ac:dyDescent="0.3">
      <c r="A16" s="13" t="s">
        <v>60</v>
      </c>
      <c r="B16" s="12" t="s">
        <v>59</v>
      </c>
      <c r="C16" s="11" t="s">
        <v>58</v>
      </c>
      <c r="D16" s="20" cm="1">
        <f t="array" ref="D16">D15/linterp(0,atmos_h,atmos_aspeed)</f>
        <v>0.26727353133021536</v>
      </c>
      <c r="E16" s="20" cm="1">
        <f t="array" ref="E16">E15/linterp(10000,atmos_h,atmos_aspeed)</f>
        <v>0.32234208375013917</v>
      </c>
    </row>
    <row r="17" spans="1:9" ht="16.5" thickBot="1" x14ac:dyDescent="0.3">
      <c r="A17" s="13" t="s">
        <v>57</v>
      </c>
      <c r="B17" s="3" t="s">
        <v>56</v>
      </c>
      <c r="C17" s="14" t="s">
        <v>55</v>
      </c>
      <c r="D17" s="22">
        <f>DEGREES(ACOS(1/D14))</f>
        <v>80.405931773139542</v>
      </c>
      <c r="E17" s="22">
        <f>DEGREES(ACOS(1/E14))</f>
        <v>80.405931773139542</v>
      </c>
    </row>
    <row r="18" spans="1:9" ht="16.5" thickBot="1" x14ac:dyDescent="0.3">
      <c r="A18" s="13" t="s">
        <v>54</v>
      </c>
      <c r="B18" s="3" t="s">
        <v>53</v>
      </c>
      <c r="C18" s="14" t="s">
        <v>42</v>
      </c>
      <c r="D18" s="21">
        <f>DEGREES((g*SQRT((D14^(2))-1))/D15)</f>
        <v>36.547913830717263</v>
      </c>
      <c r="E18" s="21">
        <f>DEGREES((g*SQRT((E14^(2))-1))/E15)</f>
        <v>31.403919534776605</v>
      </c>
    </row>
    <row r="19" spans="1:9" ht="16.5" thickBot="1" x14ac:dyDescent="0.3">
      <c r="A19" s="13" t="s">
        <v>52</v>
      </c>
      <c r="B19" s="12" t="s">
        <v>16</v>
      </c>
      <c r="C19" s="11" t="s">
        <v>41</v>
      </c>
      <c r="D19" s="23">
        <f>(D15^2)/(g*SQRT((D14^2)-1))</f>
        <v>467.79886080576603</v>
      </c>
      <c r="E19" s="23">
        <f>(E15^2)/(g*SQRT((E14^2)-1))</f>
        <v>633.60213596388144</v>
      </c>
    </row>
    <row r="22" spans="1:9" ht="15.75" thickBot="1" x14ac:dyDescent="0.3"/>
    <row r="23" spans="1:9" ht="16.5" thickBot="1" x14ac:dyDescent="0.3">
      <c r="B23" s="10" t="s">
        <v>51</v>
      </c>
      <c r="C23" s="10"/>
      <c r="D23" s="10"/>
      <c r="E23" s="10"/>
    </row>
    <row r="24" spans="1:9" ht="19.5" thickBot="1" x14ac:dyDescent="0.4">
      <c r="B24" s="6" t="s">
        <v>50</v>
      </c>
      <c r="C24" s="9" t="s">
        <v>49</v>
      </c>
      <c r="D24" s="9" t="s">
        <v>48</v>
      </c>
      <c r="E24" s="9" t="s">
        <v>47</v>
      </c>
    </row>
    <row r="25" spans="1:9" ht="16.5" thickBot="1" x14ac:dyDescent="0.3">
      <c r="B25" s="6" t="s">
        <v>46</v>
      </c>
      <c r="C25" s="8" t="s">
        <v>45</v>
      </c>
      <c r="D25" s="7" t="s">
        <v>44</v>
      </c>
      <c r="E25" s="7" t="s">
        <v>43</v>
      </c>
    </row>
    <row r="26" spans="1:9" ht="16.5" thickBot="1" x14ac:dyDescent="0.3">
      <c r="B26" s="6"/>
      <c r="C26" s="5" t="s">
        <v>42</v>
      </c>
      <c r="D26" s="4" t="s">
        <v>42</v>
      </c>
      <c r="E26" s="4" t="s">
        <v>41</v>
      </c>
      <c r="G26" t="s">
        <v>77</v>
      </c>
      <c r="H26" t="s">
        <v>78</v>
      </c>
      <c r="I26" t="s">
        <v>79</v>
      </c>
    </row>
    <row r="27" spans="1:9" ht="16.5" thickBot="1" x14ac:dyDescent="0.3">
      <c r="B27" s="2">
        <v>2</v>
      </c>
      <c r="C27" s="21" cm="1">
        <f t="array" ref="C27">(($G$27-I27)*(0.25*linterp(0,atmos_h,atmos_aspeed)))/perfweight</f>
        <v>39.825444580502818</v>
      </c>
      <c r="D27" s="21" cm="1">
        <f t="array" ref="D27">DEGREES((g*SQRT((B27^(2))-1))/(0.25*linterp(0,atmos_h,atmos_aspeed)))</f>
        <v>11.439449899267801</v>
      </c>
      <c r="E27" s="23" cm="1">
        <f t="array" ref="E27">((0.25*linterp(0,atmos_h,atmos_aspeed))^2)/(g*SQRT((B27^2)-1))</f>
        <v>1397.9790671418184</v>
      </c>
      <c r="G27" cm="1">
        <f t="array" ref="G27">tsl*linterp(0,atmos_h,atmos_dr)</f>
        <v>202</v>
      </c>
      <c r="H27" cm="1">
        <f t="array" ref="H27">(B27*perfweight)/(0.5*linterp(0,atmos_h,atmos_rho)*((0.25*linterp(0,atmos_h,atmos_aspeed)^2)*wingarea))</f>
        <v>0.12858325298950252</v>
      </c>
      <c r="I27" cm="1">
        <f t="array" ref="I27">(CD0+(K*H27^2))*(linterp(0,atmos_h,atmos_qms)*((0.25*linterp(0,atmos_h,atmos_aspeed))/linterp(0,atmos_h,atmos_aspeed))^2)*wingarea</f>
        <v>73.583755360863691</v>
      </c>
    </row>
    <row r="28" spans="1:9" ht="16.5" thickBot="1" x14ac:dyDescent="0.3">
      <c r="B28" s="3">
        <v>3</v>
      </c>
      <c r="C28" s="21" cm="1">
        <f t="array" ref="C28">(($G$27-I28)*(0.25*linterp(0,atmos_h,atmos_aspeed)))/perfweight</f>
        <v>38.434674482867436</v>
      </c>
      <c r="D28" s="21" cm="1">
        <f t="array" ref="D28">DEGREES((g*SQRT((B28^(2))-1))/(0.25*linterp(0,atmos_h,atmos_aspeed)))</f>
        <v>18.680543460892363</v>
      </c>
      <c r="E28" s="23" cm="1">
        <f t="array" ref="E28">((0.25*linterp(0,atmos_h,atmos_aspeed))^2)/(g*SQRT((B28^2)-1))</f>
        <v>856.08384639736994</v>
      </c>
      <c r="H28" cm="1">
        <f t="array" ref="H28">(B28*perfweight)/(0.5*linterp(0,atmos_h,atmos_rho)*((0.25*linterp(0,atmos_h,atmos_aspeed)^2)*wingarea))</f>
        <v>0.1928748794842538</v>
      </c>
      <c r="I28" cm="1">
        <f t="array" ref="I28">(CD0+(K*H28^2))*(linterp(0,atmos_h,atmos_qms)*((0.25*linterp(0,atmos_h,atmos_aspeed))/linterp(0,atmos_h,atmos_aspeed))^2)*wingarea</f>
        <v>78.068262061943315</v>
      </c>
    </row>
    <row r="29" spans="1:9" ht="16.5" thickBot="1" x14ac:dyDescent="0.3">
      <c r="B29" s="2">
        <v>4</v>
      </c>
      <c r="C29" s="21" cm="1">
        <f t="array" ref="C29">(($G$27-I29)*(0.25*linterp(0,atmos_h,atmos_aspeed)))/perfweight</f>
        <v>36.487596346177909</v>
      </c>
      <c r="D29" s="21" cm="1">
        <f t="array" ref="D29">DEGREES((g*SQRT((B29^(2))-1))/(0.25*linterp(0,atmos_h,atmos_aspeed)))</f>
        <v>25.57938759996593</v>
      </c>
      <c r="E29" s="23" cm="1">
        <f t="array" ref="E29">((0.25*linterp(0,atmos_h,atmos_aspeed))^2)/(g*SQRT((B29^2)-1))</f>
        <v>625.19524505016977</v>
      </c>
      <c r="H29" cm="1">
        <f t="array" ref="H29">(B29*perfweight)/(0.5*linterp(0,atmos_h,atmos_rho)*((0.25*linterp(0,atmos_h,atmos_aspeed)^2)*wingarea))</f>
        <v>0.25716650597900503</v>
      </c>
      <c r="I29" cm="1">
        <f t="array" ref="I29">(CD0+(K*H29^2))*(linterp(0,atmos_h,atmos_qms)*((0.25*linterp(0,atmos_h,atmos_aspeed))/linterp(0,atmos_h,atmos_aspeed))^2)*wingarea</f>
        <v>84.346571443454764</v>
      </c>
    </row>
  </sheetData>
  <mergeCells count="2">
    <mergeCell ref="A12:E12"/>
    <mergeCell ref="B23:E2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Altitude Table</vt:lpstr>
      <vt:lpstr>Bede BD-5J Stats</vt:lpstr>
      <vt:lpstr>HW14 - Maneuver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CD0</vt:lpstr>
      <vt:lpstr>ceiling</vt:lpstr>
      <vt:lpstr>clflight</vt:lpstr>
      <vt:lpstr>cllanding</vt:lpstr>
      <vt:lpstr>cltakeoff</vt:lpstr>
      <vt:lpstr>fuelmass</vt:lpstr>
      <vt:lpstr>fuelvol</vt:lpstr>
      <vt:lpstr>g</vt:lpstr>
      <vt:lpstr>K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2024-02-27T21:00:14Z</dcterms:modified>
</cp:coreProperties>
</file>