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C2F5BDB2-9900-41D0-BF2B-73242E406F08}" xr6:coauthVersionLast="47" xr6:coauthVersionMax="47" xr10:uidLastSave="{00000000-0000-0000-0000-000000000000}"/>
  <bookViews>
    <workbookView xWindow="-105" yWindow="0" windowWidth="14610" windowHeight="17505" firstSheet="5" activeTab="7" xr2:uid="{00000000-000D-0000-FFFF-FFFF00000000}"/>
  </bookViews>
  <sheets>
    <sheet name="Altitude Table" sheetId="2" r:id="rId1"/>
    <sheet name="Bede BD-5J Stats" sheetId="3" r:id="rId2"/>
    <sheet name="HW10 - Min and Max Velocity" sheetId="4" r:id="rId3"/>
    <sheet name="Numbers" sheetId="6" r:id="rId4"/>
    <sheet name="Numbers (SL)" sheetId="7" r:id="rId5"/>
    <sheet name="Numbers (10K)" sheetId="8" r:id="rId6"/>
    <sheet name="Chart C SL" sheetId="5" r:id="rId7"/>
    <sheet name="Chart C 10K" sheetId="9" r:id="rId8"/>
  </sheets>
  <functionGroups builtInGroupCount="19"/>
  <definedNames>
    <definedName name="atmos_aspeed" localSheetId="7">Question_1[Speed of Sound (ft/s)]</definedName>
    <definedName name="atmos_aspeed">Question_1[Speed of Sound (ft/s)]</definedName>
    <definedName name="atmos_dr" localSheetId="7">Question_1[Density Ratio]</definedName>
    <definedName name="atmos_dr">Question_1[Density Ratio]</definedName>
    <definedName name="atmos_h" localSheetId="7">Question_1[Altitude (ft)]</definedName>
    <definedName name="atmos_h">Question_1[Altitude (ft)]</definedName>
    <definedName name="atmos_qms" localSheetId="7">Question_1[QMS (lb/ft^2)]</definedName>
    <definedName name="atmos_qms">Question_1[QMS (lb/ft^2)]</definedName>
    <definedName name="atmos_rho" localSheetId="7">Question_1[Density (slug/ft^3)]</definedName>
    <definedName name="atmos_rho">Question_1[Density (slug/ft^3)]</definedName>
    <definedName name="atmos_sqrtdr" localSheetId="7">Question_1[SQRTDR]</definedName>
    <definedName name="atmos_sqrtdr">Question_1[SQRTDR]</definedName>
    <definedName name="atmos_vela" localSheetId="7">Question_1[Speed of Sound (knots)]</definedName>
    <definedName name="atmos_vela">Question_1[Speed of Sound (knots)]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ExternalData_1" localSheetId="3" hidden="1">Numbers!$A$1:$N$105</definedName>
    <definedName name="ExternalData_1" localSheetId="5" hidden="1">'Numbers (10K)'!$A$1:$I$56</definedName>
    <definedName name="ExternalData_1" localSheetId="4" hidden="1">'Numbers (SL)'!$A$1:$I$56</definedName>
    <definedName name="fuelmass">'Bede BD-5J Stats'!$F$3</definedName>
    <definedName name="fuelvol">'Bede BD-5J Stats'!$F$2</definedName>
    <definedName name="g">'Bede BD-5J Stats'!$B$13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sfcsl">'Bede BD-5J Stats'!$F$11</definedName>
    <definedName name="tsl">'Bede BD-5J Stats'!$B$11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4" l="1" a="1"/>
  <c r="E7" i="4" a="1"/>
  <c r="E14" i="4" a="1"/>
  <c r="E12" i="4" a="1"/>
  <c r="E11" i="4" a="1"/>
  <c r="E13" i="4" a="1"/>
  <c r="D13" i="4" a="1"/>
  <c r="D11" i="4" a="1"/>
  <c r="E8" i="4" a="1"/>
  <c r="D8" i="4" a="1"/>
  <c r="E9" i="4" l="1"/>
  <c r="E7" i="4"/>
  <c r="E14" i="4"/>
  <c r="E12" i="4"/>
  <c r="E11" i="4"/>
  <c r="E13" i="4"/>
  <c r="D13" i="4"/>
  <c r="D11" i="4"/>
  <c r="E8" i="4"/>
  <c r="D8" i="4"/>
  <c r="D12" i="4" a="1"/>
  <c r="D9" i="4" a="1"/>
  <c r="D14" i="4" a="1"/>
  <c r="D9" i="4" l="1"/>
  <c r="D12" i="4"/>
  <c r="D14" i="4"/>
  <c r="E6" i="4" l="1" a="1"/>
  <c r="D6" i="4" a="1"/>
  <c r="E6" i="4" l="1"/>
  <c r="D6" i="4"/>
  <c r="D7" i="4" a="1"/>
  <c r="D7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28C0542-F40D-4227-94CB-74B9DB5D0495}" keepAlive="1" name="Query - Numbers" description="Connection to the 'Numbers' query in the workbook." type="5" refreshedVersion="8" background="1" saveData="1">
    <dbPr connection="Provider=Microsoft.Mashup.OleDb.1;Data Source=$Workbook$;Location=Numbers;Extended Properties=&quot;&quot;" command="SELECT * FROM [Numbers]"/>
  </connection>
  <connection id="2" xr16:uid="{D26CE82A-734E-431A-86D4-37E0CB12C844}" keepAlive="1" name="Query - Numbers (10K)" description="Connection to the 'Numbers (10K)' query in the workbook." type="5" refreshedVersion="8" background="1" saveData="1">
    <dbPr connection="Provider=Microsoft.Mashup.OleDb.1;Data Source=$Workbook$;Location=&quot;Numbers (10K)&quot;;Extended Properties=&quot;&quot;" command="SELECT * FROM [Numbers (10K)]"/>
  </connection>
  <connection id="3" xr16:uid="{17A9ECF5-E2A3-4189-997E-D56E9436EB4F}" keepAlive="1" name="Query - Numbers (SL)" description="Connection to the 'Numbers (SL)' query in the workbook." type="5" refreshedVersion="8" background="1" saveData="1">
    <dbPr connection="Provider=Microsoft.Mashup.OleDb.1;Data Source=$Workbook$;Location=&quot;Numbers (SL)&quot;;Extended Properties=&quot;&quot;" command="SELECT * FROM [Numbers (SL)]"/>
  </connection>
  <connection id="4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<sst xmlns="http://schemas.openxmlformats.org/spreadsheetml/2006/main" count="113" uniqueCount="78">
  <si>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</si>
  <si>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</si>
  <si>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</si>
  <si>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</si>
  <si>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</si>
  <si>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</si>
  <si>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</si>
  <si>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</si>
  <si>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</si>
  <si>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</si>
  <si>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</si>
  <si>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</si>
  <si>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</si>
  <si>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</si>
  <si>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</si>
  <si>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</si>
  <si>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</si>
  <si>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</si>
  <si>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</si>
  <si>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</si>
  <si>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</si>
  <si>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</si>
  <si>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</si>
  <si>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</si>
  <si>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</si>
  <si>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</si>
  <si>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</si>
  <si>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</si>
  <si>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</si>
  <si>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</si>
  <si>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</si>
  <si>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</si>
  <si>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</si>
  <si>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</si>
  <si>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</si>
  <si>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ft/s^2</t>
  </si>
  <si>
    <t>T_SL</t>
  </si>
  <si>
    <t>SFC_SL</t>
  </si>
  <si>
    <t>lb/(lb-hr)</t>
  </si>
  <si>
    <t>X.YYYY</t>
  </si>
  <si>
    <t>---</t>
  </si>
  <si>
    <t xml:space="preserve">     Mach Number</t>
  </si>
  <si>
    <t>X.Y</t>
  </si>
  <si>
    <t xml:space="preserve"> ft/sec</t>
  </si>
  <si>
    <t>Maximum Velocity due to aircraft limitations</t>
  </si>
  <si>
    <t>Maximum Velocity where Thrust = Drag</t>
  </si>
  <si>
    <t>10,000 ft</t>
  </si>
  <si>
    <t>Sea Level</t>
  </si>
  <si>
    <t>Format</t>
  </si>
  <si>
    <t>Units</t>
  </si>
  <si>
    <t>Part b - Maximum Speeds</t>
  </si>
  <si>
    <t>Minimum Velocity due to aerodynamic stall</t>
  </si>
  <si>
    <t>Minimum Velocity where Thrust = Drag</t>
  </si>
  <si>
    <t>Part a - Minimum Speeds</t>
  </si>
  <si>
    <t>Minimum and Maximum Velocities</t>
  </si>
  <si>
    <t>Homework #10</t>
  </si>
  <si>
    <t>Altitude</t>
  </si>
  <si>
    <t>Min Mach</t>
  </si>
  <si>
    <t>Min Speed</t>
  </si>
  <si>
    <t>Max Mach</t>
  </si>
  <si>
    <t>Max Speed</t>
  </si>
  <si>
    <t>A Max Mach</t>
  </si>
  <si>
    <t>Mach Number</t>
  </si>
  <si>
    <t>Max Load Factor</t>
  </si>
  <si>
    <t>Min Load Factor</t>
  </si>
  <si>
    <t>10k</t>
  </si>
  <si>
    <t>Mach Number_1</t>
  </si>
  <si>
    <t>Max Load Factor_2</t>
  </si>
  <si>
    <t>Min Load Factor_3</t>
  </si>
  <si>
    <t>Mach</t>
  </si>
  <si>
    <t>CL</t>
  </si>
  <si>
    <t>CD</t>
  </si>
  <si>
    <t>Thrust Required</t>
  </si>
  <si>
    <t>L/D</t>
  </si>
  <si>
    <t>FFR</t>
  </si>
  <si>
    <t>Endurance</t>
  </si>
  <si>
    <t>SQRT(L)/D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</si>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</sst>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000"/>
    <numFmt numFmtId="168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vertical="center"/>
    </xf>
    <xf numFmtId="0" fontId="1" fillId="4" borderId="0" xfId="0" applyFont="1" applyFill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/>
    </xf>
    <xf numFmtId="168" fontId="2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SL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(SL)'!$A$5:$A$56</c:f>
              <c:numCache>
                <c:formatCode>General</c:formatCode>
                <c:ptCount val="52"/>
                <c:pt idx="0">
                  <c:v>0.04</c:v>
                </c:pt>
                <c:pt idx="1">
                  <c:v>0.05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0.08</c:v>
                </c:pt>
                <c:pt idx="5">
                  <c:v>0.09</c:v>
                </c:pt>
                <c:pt idx="6">
                  <c:v>0.1</c:v>
                </c:pt>
                <c:pt idx="7">
                  <c:v>0.11</c:v>
                </c:pt>
                <c:pt idx="8">
                  <c:v>0.12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0.16</c:v>
                </c:pt>
                <c:pt idx="13">
                  <c:v>0.17</c:v>
                </c:pt>
                <c:pt idx="14">
                  <c:v>0.18</c:v>
                </c:pt>
                <c:pt idx="15">
                  <c:v>0.19</c:v>
                </c:pt>
                <c:pt idx="16">
                  <c:v>0.2</c:v>
                </c:pt>
                <c:pt idx="17">
                  <c:v>0.21</c:v>
                </c:pt>
                <c:pt idx="18">
                  <c:v>0.22</c:v>
                </c:pt>
                <c:pt idx="19">
                  <c:v>0.23</c:v>
                </c:pt>
                <c:pt idx="20">
                  <c:v>0.24</c:v>
                </c:pt>
                <c:pt idx="21">
                  <c:v>0.25</c:v>
                </c:pt>
                <c:pt idx="22">
                  <c:v>0.26</c:v>
                </c:pt>
                <c:pt idx="23">
                  <c:v>0.27</c:v>
                </c:pt>
                <c:pt idx="24">
                  <c:v>0.28000000000000003</c:v>
                </c:pt>
                <c:pt idx="25">
                  <c:v>0.28999999999999998</c:v>
                </c:pt>
                <c:pt idx="26">
                  <c:v>0.3</c:v>
                </c:pt>
                <c:pt idx="27">
                  <c:v>0.31</c:v>
                </c:pt>
                <c:pt idx="28">
                  <c:v>0.32</c:v>
                </c:pt>
                <c:pt idx="29">
                  <c:v>0.33</c:v>
                </c:pt>
                <c:pt idx="30">
                  <c:v>0.34</c:v>
                </c:pt>
                <c:pt idx="31">
                  <c:v>0.35</c:v>
                </c:pt>
                <c:pt idx="32">
                  <c:v>0.36</c:v>
                </c:pt>
                <c:pt idx="33">
                  <c:v>0.37</c:v>
                </c:pt>
                <c:pt idx="34">
                  <c:v>0.38</c:v>
                </c:pt>
                <c:pt idx="35">
                  <c:v>0.39</c:v>
                </c:pt>
                <c:pt idx="36">
                  <c:v>0.4</c:v>
                </c:pt>
                <c:pt idx="37">
                  <c:v>0.41</c:v>
                </c:pt>
                <c:pt idx="38">
                  <c:v>0.42</c:v>
                </c:pt>
                <c:pt idx="39">
                  <c:v>0.43</c:v>
                </c:pt>
                <c:pt idx="40">
                  <c:v>0.44</c:v>
                </c:pt>
                <c:pt idx="41">
                  <c:v>0.45</c:v>
                </c:pt>
                <c:pt idx="42">
                  <c:v>0.46</c:v>
                </c:pt>
                <c:pt idx="43">
                  <c:v>0.47</c:v>
                </c:pt>
                <c:pt idx="44">
                  <c:v>0.48</c:v>
                </c:pt>
                <c:pt idx="45">
                  <c:v>0.49</c:v>
                </c:pt>
                <c:pt idx="46">
                  <c:v>0.5</c:v>
                </c:pt>
                <c:pt idx="47">
                  <c:v>0.51</c:v>
                </c:pt>
                <c:pt idx="48">
                  <c:v>0.52</c:v>
                </c:pt>
                <c:pt idx="49">
                  <c:v>0.53</c:v>
                </c:pt>
                <c:pt idx="50">
                  <c:v>0.54</c:v>
                </c:pt>
                <c:pt idx="51">
                  <c:v>0.55000000000000004</c:v>
                </c:pt>
              </c:numCache>
            </c:numRef>
          </c:xVal>
          <c:yVal>
            <c:numRef>
              <c:f>'Numbers (SL)'!$D$5:$D$56</c:f>
              <c:numCache>
                <c:formatCode>General</c:formatCode>
                <c:ptCount val="52"/>
                <c:pt idx="0">
                  <c:v>562.33445371015671</c:v>
                </c:pt>
                <c:pt idx="1">
                  <c:v>361.54701835484326</c:v>
                </c:pt>
                <c:pt idx="2">
                  <c:v>253.1616818875101</c:v>
                </c:pt>
                <c:pt idx="3">
                  <c:v>188.52181973622376</c:v>
                </c:pt>
                <c:pt idx="4">
                  <c:v>147.30299546145409</c:v>
                </c:pt>
                <c:pt idx="5">
                  <c:v>119.79563359785679</c:v>
                </c:pt>
                <c:pt idx="6">
                  <c:v>100.88578901670286</c:v>
                </c:pt>
                <c:pt idx="7">
                  <c:v>87.672091752013287</c:v>
                </c:pt>
                <c:pt idx="8">
                  <c:v>78.409030048186096</c:v>
                </c:pt>
                <c:pt idx="9">
                  <c:v>71.995383040602775</c:v>
                </c:pt>
                <c:pt idx="10">
                  <c:v>67.708562412920372</c:v>
                </c:pt>
                <c:pt idx="11">
                  <c:v>65.058491053926744</c:v>
                </c:pt>
                <c:pt idx="12">
                  <c:v>63.703277001023196</c:v>
                </c:pt>
                <c:pt idx="13">
                  <c:v>63.398524833660673</c:v>
                </c:pt>
                <c:pt idx="14">
                  <c:v>63.965779946158456</c:v>
                </c:pt>
                <c:pt idx="15">
                  <c:v>65.27227607584922</c:v>
                </c:pt>
                <c:pt idx="16">
                  <c:v>67.217584966143974</c:v>
                </c:pt>
                <c:pt idx="17">
                  <c:v>69.724605105777599</c:v>
                </c:pt>
                <c:pt idx="18">
                  <c:v>72.733349569484886</c:v>
                </c:pt>
                <c:pt idx="19">
                  <c:v>76.196581648199512</c:v>
                </c:pt>
                <c:pt idx="20">
                  <c:v>80.076695817280779</c:v>
                </c:pt>
                <c:pt idx="21">
                  <c:v>84.343453886908875</c:v>
                </c:pt>
                <c:pt idx="22">
                  <c:v>88.972318493377031</c:v>
                </c:pt>
                <c:pt idx="23">
                  <c:v>93.943210362296455</c:v>
                </c:pt>
                <c:pt idx="24">
                  <c:v>99.239570518687856</c:v>
                </c:pt>
                <c:pt idx="25">
                  <c:v>104.84764482937861</c:v>
                </c:pt>
                <c:pt idx="26">
                  <c:v>110.7559326154102</c:v>
                </c:pt>
                <c:pt idx="27">
                  <c:v>116.95475770211944</c:v>
                </c:pt>
                <c:pt idx="28">
                  <c:v>123.43593179289449</c:v>
                </c:pt>
                <c:pt idx="29">
                  <c:v>130.1924881359578</c:v>
                </c:pt>
                <c:pt idx="30">
                  <c:v>137.21846919600335</c:v>
                </c:pt>
                <c:pt idx="31">
                  <c:v>144.50875616877062</c:v>
                </c:pt>
                <c:pt idx="32">
                  <c:v>152.05893117331669</c:v>
                </c:pt>
                <c:pt idx="33">
                  <c:v>159.86516515491945</c:v>
                </c:pt>
                <c:pt idx="34">
                  <c:v>167.92412615916768</c:v>
                </c:pt>
                <c:pt idx="35">
                  <c:v>176.23290385364049</c:v>
                </c:pt>
                <c:pt idx="36">
                  <c:v>184.78894708940896</c:v>
                </c:pt>
                <c:pt idx="37">
                  <c:v>193.59001198987232</c:v>
                </c:pt>
                <c:pt idx="38">
                  <c:v>202.63411858622433</c:v>
                </c:pt>
                <c:pt idx="39">
                  <c:v>211.9195144284426</c:v>
                </c:pt>
                <c:pt idx="40">
                  <c:v>221.44464391829752</c:v>
                </c:pt>
                <c:pt idx="41">
                  <c:v>231.20812235871136</c:v>
                </c:pt>
                <c:pt idx="42">
                  <c:v>241.20871390836186</c:v>
                </c:pt>
                <c:pt idx="43">
                  <c:v>251.44531278404287</c:v>
                </c:pt>
                <c:pt idx="44">
                  <c:v>261.91692717525723</c:v>
                </c:pt>
                <c:pt idx="45">
                  <c:v>272.62266543284613</c:v>
                </c:pt>
                <c:pt idx="46">
                  <c:v>283.56172417152868</c:v>
                </c:pt>
                <c:pt idx="47">
                  <c:v>294.7333779891344</c:v>
                </c:pt>
                <c:pt idx="48">
                  <c:v>306.13697055624959</c:v>
                </c:pt>
                <c:pt idx="49">
                  <c:v>317.77190687141393</c:v>
                </c:pt>
                <c:pt idx="50">
                  <c:v>329.63764651082255</c:v>
                </c:pt>
                <c:pt idx="51">
                  <c:v>341.73369772922194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91-43EE-99D3-1598E169DF95}"/>
            </c:ext>
          </c:extLst>
        </c:ser>
        <c:ser>
          <c:idx val="1"/>
          <c:order val="1"/>
          <c:tx>
            <c:v>Max Thrust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0.55000000000000004</c:v>
              </c:pt>
            </c:numLit>
          </c:xVal>
          <c:yVal>
            <c:numLit>
              <c:formatCode>General</c:formatCode>
              <c:ptCount val="2"/>
              <c:pt idx="0">
                <c:v>202</c:v>
              </c:pt>
              <c:pt idx="1">
                <c:v>202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591-43EE-99D3-1598E169DF95}"/>
            </c:ext>
          </c:extLst>
        </c:ser>
        <c:ser>
          <c:idx val="4"/>
          <c:order val="2"/>
          <c:tx>
            <c:v>Stall</c:v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('HW10 - Min and Max Velocity'!$D$9,'HW10 - Min and Max Velocity'!$D$9)</c:f>
              <c:numCache>
                <c:formatCode>0.0000</c:formatCode>
                <c:ptCount val="2"/>
                <c:pt idx="0">
                  <c:v>0.10911396225180016</c:v>
                </c:pt>
                <c:pt idx="1">
                  <c:v>0.10911396225180016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562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4591-43EE-99D3-1598E169DF95}"/>
            </c:ext>
          </c:extLst>
        </c:ser>
        <c:ser>
          <c:idx val="2"/>
          <c:order val="3"/>
          <c:tx>
            <c:v>Limit Velocity</c:v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('HW10 - Min and Max Velocity'!$D$14,'HW10 - Min and Max Velocity'!$D$14)</c:f>
              <c:numCache>
                <c:formatCode>0.0000</c:formatCode>
                <c:ptCount val="2"/>
                <c:pt idx="0">
                  <c:v>0.23287892087490819</c:v>
                </c:pt>
                <c:pt idx="1">
                  <c:v>0.23287892087490819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562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4591-43EE-99D3-1598E169D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257199"/>
        <c:axId val="802401471"/>
      </c:scatterChart>
      <c:valAx>
        <c:axId val="58025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01471"/>
        <c:crosses val="autoZero"/>
        <c:crossBetween val="midCat"/>
      </c:valAx>
      <c:valAx>
        <c:axId val="80240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57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10K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'Numbers (10K)'!$A$7:$A$56</c:f>
              <c:numCache>
                <c:formatCode>General</c:formatCode>
                <c:ptCount val="50"/>
                <c:pt idx="0">
                  <c:v>0.06</c:v>
                </c:pt>
                <c:pt idx="1">
                  <c:v>7.0000000000000007E-2</c:v>
                </c:pt>
                <c:pt idx="2">
                  <c:v>0.08</c:v>
                </c:pt>
                <c:pt idx="3">
                  <c:v>0.09</c:v>
                </c:pt>
                <c:pt idx="4">
                  <c:v>0.1</c:v>
                </c:pt>
                <c:pt idx="5">
                  <c:v>0.11</c:v>
                </c:pt>
                <c:pt idx="6">
                  <c:v>0.12</c:v>
                </c:pt>
                <c:pt idx="7">
                  <c:v>0.13</c:v>
                </c:pt>
                <c:pt idx="8">
                  <c:v>0.14000000000000001</c:v>
                </c:pt>
                <c:pt idx="9">
                  <c:v>0.15</c:v>
                </c:pt>
                <c:pt idx="10">
                  <c:v>0.16</c:v>
                </c:pt>
                <c:pt idx="11">
                  <c:v>0.17</c:v>
                </c:pt>
                <c:pt idx="12">
                  <c:v>0.18</c:v>
                </c:pt>
                <c:pt idx="13">
                  <c:v>0.19</c:v>
                </c:pt>
                <c:pt idx="14">
                  <c:v>0.2</c:v>
                </c:pt>
                <c:pt idx="15">
                  <c:v>0.21</c:v>
                </c:pt>
                <c:pt idx="16">
                  <c:v>0.22</c:v>
                </c:pt>
                <c:pt idx="17">
                  <c:v>0.23</c:v>
                </c:pt>
                <c:pt idx="18">
                  <c:v>0.24</c:v>
                </c:pt>
                <c:pt idx="19">
                  <c:v>0.25</c:v>
                </c:pt>
                <c:pt idx="20">
                  <c:v>0.26</c:v>
                </c:pt>
                <c:pt idx="21">
                  <c:v>0.27</c:v>
                </c:pt>
                <c:pt idx="22">
                  <c:v>0.28000000000000003</c:v>
                </c:pt>
                <c:pt idx="23">
                  <c:v>0.28999999999999998</c:v>
                </c:pt>
                <c:pt idx="24">
                  <c:v>0.3</c:v>
                </c:pt>
                <c:pt idx="25">
                  <c:v>0.31</c:v>
                </c:pt>
                <c:pt idx="26">
                  <c:v>0.32</c:v>
                </c:pt>
                <c:pt idx="27">
                  <c:v>0.33</c:v>
                </c:pt>
                <c:pt idx="28">
                  <c:v>0.34</c:v>
                </c:pt>
                <c:pt idx="29">
                  <c:v>0.35</c:v>
                </c:pt>
                <c:pt idx="30">
                  <c:v>0.36</c:v>
                </c:pt>
                <c:pt idx="31">
                  <c:v>0.37</c:v>
                </c:pt>
                <c:pt idx="32">
                  <c:v>0.38</c:v>
                </c:pt>
                <c:pt idx="33">
                  <c:v>0.39</c:v>
                </c:pt>
                <c:pt idx="34">
                  <c:v>0.4</c:v>
                </c:pt>
                <c:pt idx="35">
                  <c:v>0.41</c:v>
                </c:pt>
                <c:pt idx="36">
                  <c:v>0.42</c:v>
                </c:pt>
                <c:pt idx="37">
                  <c:v>0.43</c:v>
                </c:pt>
                <c:pt idx="38">
                  <c:v>0.44</c:v>
                </c:pt>
                <c:pt idx="39">
                  <c:v>0.45</c:v>
                </c:pt>
                <c:pt idx="40">
                  <c:v>0.46</c:v>
                </c:pt>
                <c:pt idx="41">
                  <c:v>0.47</c:v>
                </c:pt>
                <c:pt idx="42">
                  <c:v>0.48</c:v>
                </c:pt>
                <c:pt idx="43">
                  <c:v>0.49</c:v>
                </c:pt>
                <c:pt idx="44">
                  <c:v>0.5</c:v>
                </c:pt>
                <c:pt idx="45">
                  <c:v>0.51</c:v>
                </c:pt>
                <c:pt idx="46">
                  <c:v>0.52</c:v>
                </c:pt>
                <c:pt idx="47">
                  <c:v>0.53</c:v>
                </c:pt>
                <c:pt idx="48">
                  <c:v>0.54</c:v>
                </c:pt>
                <c:pt idx="49">
                  <c:v>0.55000000000000004</c:v>
                </c:pt>
              </c:numCache>
            </c:numRef>
          </c:xVal>
          <c:yVal>
            <c:numRef>
              <c:f>'Numbers (10K)'!$D$7:$D$56</c:f>
              <c:numCache>
                <c:formatCode>General</c:formatCode>
                <c:ptCount val="50"/>
                <c:pt idx="0">
                  <c:v>531.10411878352556</c:v>
                </c:pt>
                <c:pt idx="1">
                  <c:v>392.72442643533697</c:v>
                </c:pt>
                <c:pt idx="2">
                  <c:v>303.64561621546255</c:v>
                </c:pt>
                <c:pt idx="3">
                  <c:v>243.32560555164133</c:v>
                </c:pt>
                <c:pt idx="4">
                  <c:v>200.94506629926843</c:v>
                </c:pt>
                <c:pt idx="5">
                  <c:v>170.36570934091043</c:v>
                </c:pt>
                <c:pt idx="6">
                  <c:v>147.89463927218995</c:v>
                </c:pt>
                <c:pt idx="7">
                  <c:v>131.20205598886639</c:v>
                </c:pt>
                <c:pt idx="8">
                  <c:v>118.75921408769868</c:v>
                </c:pt>
                <c:pt idx="9">
                  <c:v>109.52928095728916</c:v>
                </c:pt>
                <c:pt idx="10">
                  <c:v>102.7889321895253</c:v>
                </c:pt>
                <c:pt idx="11">
                  <c:v>98.021112128665976</c:v>
                </c:pt>
                <c:pt idx="12">
                  <c:v>94.848272934604609</c:v>
                </c:pt>
                <c:pt idx="13">
                  <c:v>92.989527400659625</c:v>
                </c:pt>
                <c:pt idx="14">
                  <c:v>92.232404286785339</c:v>
                </c:pt>
                <c:pt idx="15">
                  <c:v>92.413783627901324</c:v>
                </c:pt>
                <c:pt idx="16">
                  <c:v>93.406753966709175</c:v>
                </c:pt>
                <c:pt idx="17">
                  <c:v>95.111378866075782</c:v>
                </c:pt>
                <c:pt idx="18">
                  <c:v>97.448098123281753</c:v>
                </c:pt>
                <c:pt idx="19">
                  <c:v>100.35293825211933</c:v>
                </c:pt>
                <c:pt idx="20">
                  <c:v>103.77398673044294</c:v>
                </c:pt>
                <c:pt idx="21">
                  <c:v>107.66876280160582</c:v>
                </c:pt>
                <c:pt idx="22">
                  <c:v>112.00223343738243</c:v>
                </c:pt>
                <c:pt idx="23">
                  <c:v>116.74529967867296</c:v>
                </c:pt>
                <c:pt idx="24">
                  <c:v>121.8736300912508</c:v>
                </c:pt>
                <c:pt idx="25">
                  <c:v>127.366753257017</c:v>
                </c:pt>
                <c:pt idx="26">
                  <c:v>133.20734559002003</c:v>
                </c:pt>
                <c:pt idx="27">
                  <c:v>139.38066786805749</c:v>
                </c:pt>
                <c:pt idx="28">
                  <c:v>145.87411601975469</c:v>
                </c:pt>
                <c:pt idx="29">
                  <c:v>152.67686043673513</c:v>
                </c:pt>
                <c:pt idx="30">
                  <c:v>159.77955442042824</c:v>
                </c:pt>
                <c:pt idx="31">
                  <c:v>167.17409702362403</c:v>
                </c:pt>
                <c:pt idx="32">
                  <c:v>174.85343899037028</c:v>
                </c:pt>
                <c:pt idx="33">
                  <c:v>182.81142307011424</c:v>
                </c:pt>
                <c:pt idx="34">
                  <c:v>191.04265191956932</c:v>
                </c:pt>
                <c:pt idx="35">
                  <c:v>199.54237827675902</c:v>
                </c:pt>
                <c:pt idx="36">
                  <c:v>208.30641321675529</c:v>
                </c:pt>
                <c:pt idx="37">
                  <c:v>217.33104916519574</c:v>
                </c:pt>
                <c:pt idx="38">
                  <c:v>226.61299501760357</c:v>
                </c:pt>
                <c:pt idx="39">
                  <c:v>236.14932123686276</c:v>
                </c:pt>
                <c:pt idx="40">
                  <c:v>245.9374132128309</c:v>
                </c:pt>
                <c:pt idx="41">
                  <c:v>255.97493149307704</c:v>
                </c:pt>
                <c:pt idx="42">
                  <c:v>266.2597777517575</c:v>
                </c:pt>
                <c:pt idx="43">
                  <c:v>276.79006556956273</c:v>
                </c:pt>
                <c:pt idx="44">
                  <c:v>287.5640952628313</c:v>
                </c:pt>
                <c:pt idx="45">
                  <c:v>298.58033213302389</c:v>
                </c:pt>
                <c:pt idx="46">
                  <c:v>309.83738761551609</c:v>
                </c:pt>
                <c:pt idx="47">
                  <c:v>321.33400289428914</c:v>
                </c:pt>
                <c:pt idx="48">
                  <c:v>333.06903462064992</c:v>
                </c:pt>
                <c:pt idx="49">
                  <c:v>345.04144243277779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76-4FD6-8BC5-39E32C5D375C}"/>
            </c:ext>
          </c:extLst>
        </c:ser>
        <c:ser>
          <c:idx val="1"/>
          <c:order val="1"/>
          <c:tx>
            <c:v>Max Thrust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0.55000000000000004</c:v>
              </c:pt>
            </c:numLit>
          </c:xVal>
          <c:yVal>
            <c:numLit>
              <c:formatCode>General</c:formatCode>
              <c:ptCount val="2"/>
              <c:pt idx="0">
                <c:v>149.13999999999999</c:v>
              </c:pt>
              <c:pt idx="1">
                <c:v>149.13999999999999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276-4FD6-8BC5-39E32C5D375C}"/>
            </c:ext>
          </c:extLst>
        </c:ser>
        <c:ser>
          <c:idx val="2"/>
          <c:order val="2"/>
          <c:tx>
            <c:v>Min Velocity</c:v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('HW10 - Min and Max Velocity'!$E$9,'HW10 - Min and Max Velocity'!$E$9)</c:f>
              <c:numCache>
                <c:formatCode>0.0000</c:formatCode>
                <c:ptCount val="2"/>
                <c:pt idx="0">
                  <c:v>0.13159560463555367</c:v>
                </c:pt>
                <c:pt idx="1">
                  <c:v>0.13159560463555367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531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276-4FD6-8BC5-39E32C5D375C}"/>
            </c:ext>
          </c:extLst>
        </c:ser>
        <c:ser>
          <c:idx val="3"/>
          <c:order val="3"/>
          <c:tx>
            <c:v>Max Velocity</c:v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('HW10 - Min and Max Velocity'!$E$14,'HW10 - Min and Max Velocity'!$E$14)</c:f>
              <c:numCache>
                <c:formatCode>0.0000</c:formatCode>
                <c:ptCount val="2"/>
                <c:pt idx="0">
                  <c:v>0.2808783288316748</c:v>
                </c:pt>
                <c:pt idx="1">
                  <c:v>0.2808783288316748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531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276-4FD6-8BC5-39E32C5D3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257199"/>
        <c:axId val="802401471"/>
      </c:scatterChart>
      <c:valAx>
        <c:axId val="58025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401471"/>
        <c:crosses val="autoZero"/>
        <c:crossBetween val="midCat"/>
      </c:valAx>
      <c:valAx>
        <c:axId val="80240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57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19050</xdr:colOff>
      <xdr:row>33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1FEB59-2221-4C3B-A114-BAED775247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19050</xdr:colOff>
      <xdr:row>33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6F1E98-7F00-46B2-AF06-4C34B278D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EF0B7AC-111B-4442-95C2-9B69D6752E7E}" autoFormatId="16" applyNumberFormats="0" applyBorderFormats="0" applyFontFormats="0" applyPatternFormats="0" applyAlignmentFormats="0" applyWidthHeightFormats="0">
  <queryTableRefresh nextId="15">
    <queryTableFields count="14">
      <queryTableField id="1" name="Altitude" tableColumnId="1"/>
      <queryTableField id="2" name="Min Mach" tableColumnId="2"/>
      <queryTableField id="3" name="Min Speed" tableColumnId="3"/>
      <queryTableField id="4" name="Max Mach" tableColumnId="4"/>
      <queryTableField id="5" name="Max Speed" tableColumnId="5"/>
      <queryTableField id="6" name="A Max Mach" tableColumnId="6"/>
      <queryTableField id="7" name="Sea Level" tableColumnId="7"/>
      <queryTableField id="8" name="Mach Number" tableColumnId="8"/>
      <queryTableField id="9" name="Max Load Factor" tableColumnId="9"/>
      <queryTableField id="10" name="Min Load Factor" tableColumnId="10"/>
      <queryTableField id="11" name="10k" tableColumnId="11"/>
      <queryTableField id="12" name="Mach Number_1" tableColumnId="12"/>
      <queryTableField id="13" name="Max Load Factor_2" tableColumnId="13"/>
      <queryTableField id="14" name="Min Load Factor_3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1253511-A28F-43D4-8E9D-3807A79C3EBA}" autoFormatId="16" applyNumberFormats="0" applyBorderFormats="0" applyFontFormats="0" applyPatternFormats="0" applyAlignmentFormats="0" applyWidthHeightFormats="0">
  <queryTableRefresh nextId="10">
    <queryTableFields count="9">
      <queryTableField id="1" name="Mach" tableColumnId="1"/>
      <queryTableField id="2" name="CL" tableColumnId="2"/>
      <queryTableField id="3" name="CD" tableColumnId="3"/>
      <queryTableField id="4" name="Thrust Required" tableColumnId="4"/>
      <queryTableField id="5" name="L/D" tableColumnId="5"/>
      <queryTableField id="6" name="FFR" tableColumnId="6"/>
      <queryTableField id="7" name="Endurance" tableColumnId="7"/>
      <queryTableField id="8" name="SQRT(L)/D" tableColumnId="8"/>
      <queryTableField id="9" name="Range" tableColumnId="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425C2B23-3F64-4723-A488-87BE7EAE7083}" autoFormatId="16" applyNumberFormats="0" applyBorderFormats="0" applyFontFormats="0" applyPatternFormats="0" applyAlignmentFormats="0" applyWidthHeightFormats="0">
  <queryTableRefresh nextId="10">
    <queryTableFields count="9">
      <queryTableField id="1" name="Mach" tableColumnId="1"/>
      <queryTableField id="2" name="CL" tableColumnId="2"/>
      <queryTableField id="3" name="CD" tableColumnId="3"/>
      <queryTableField id="4" name="Thrust Required" tableColumnId="4"/>
      <queryTableField id="5" name="L/D" tableColumnId="5"/>
      <queryTableField id="6" name="FFR" tableColumnId="6"/>
      <queryTableField id="7" name="Endurance" tableColumnId="7"/>
      <queryTableField id="8" name="SQRT(L)/D" tableColumnId="8"/>
      <queryTableField id="9" name="Range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C82B56-8BD5-4070-8291-21182D28DA51}" name="Numbers" displayName="Numbers" ref="A1:N105" tableType="queryTable" totalsRowShown="0">
  <autoFilter ref="A1:N105" xr:uid="{30C82B56-8BD5-4070-8291-21182D28DA51}"/>
  <tableColumns count="14">
    <tableColumn id="1" xr3:uid="{AFBE9435-BD0B-4006-82B8-12A457388678}" uniqueName="1" name="Altitude" queryTableFieldId="1"/>
    <tableColumn id="2" xr3:uid="{2957ED0A-2DB5-4DCE-8C23-5E8ABF82B60C}" uniqueName="2" name="Min Mach" queryTableFieldId="2"/>
    <tableColumn id="3" xr3:uid="{1A6584D4-2780-475C-B077-C08DB9E79FF7}" uniqueName="3" name="Min Speed" queryTableFieldId="3"/>
    <tableColumn id="4" xr3:uid="{057D86A7-1D95-4CE6-A4F3-23FB10BE8131}" uniqueName="4" name="Max Mach" queryTableFieldId="4"/>
    <tableColumn id="5" xr3:uid="{4B682746-BC08-44CA-AA7F-49E4B8913687}" uniqueName="5" name="Max Speed" queryTableFieldId="5"/>
    <tableColumn id="6" xr3:uid="{C8BA3AA5-1BE9-40F8-A424-9D8E92E38124}" uniqueName="6" name="A Max Mach" queryTableFieldId="6"/>
    <tableColumn id="7" xr3:uid="{5BB3D93B-3D43-49BA-94FB-3AC3B2B6FAC6}" uniqueName="7" name="Sea Level" queryTableFieldId="7"/>
    <tableColumn id="8" xr3:uid="{105A4B7C-6957-40BA-BFB3-0F2812946BC8}" uniqueName="8" name="Mach Number" queryTableFieldId="8"/>
    <tableColumn id="9" xr3:uid="{46CB902C-87B9-4D37-BFD5-4B590A4CC28E}" uniqueName="9" name="Max Load Factor" queryTableFieldId="9"/>
    <tableColumn id="10" xr3:uid="{5A431862-8428-4E7C-87FA-9C5FECF41E8D}" uniqueName="10" name="Min Load Factor" queryTableFieldId="10"/>
    <tableColumn id="11" xr3:uid="{F2A76C1E-39F0-412C-833E-600C89A9CD9F}" uniqueName="11" name="10k" queryTableFieldId="11"/>
    <tableColumn id="12" xr3:uid="{1129F566-39C5-4CE3-A3E0-1D40CB17C821}" uniqueName="12" name="Mach Number_1" queryTableFieldId="12"/>
    <tableColumn id="13" xr3:uid="{4EA9C4EF-64B1-40EA-A4E1-0C20FFF20871}" uniqueName="13" name="Max Load Factor_2" queryTableFieldId="13"/>
    <tableColumn id="14" xr3:uid="{27B776AE-A45B-4323-8822-4131D151B610}" uniqueName="14" name="Min Load Factor_3" queryTableField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3C26D-59A3-496F-AC60-F8F3F61EFBF7}" name="Numbers__SL" displayName="Numbers__SL" ref="A1:I56" tableType="queryTable" totalsRowShown="0">
  <autoFilter ref="A1:I56" xr:uid="{8E63C26D-59A3-496F-AC60-F8F3F61EFBF7}"/>
  <tableColumns count="9">
    <tableColumn id="1" xr3:uid="{5FD248ED-96F4-4ED8-8FB6-F6A7A556BA35}" uniqueName="1" name="Mach" queryTableFieldId="1"/>
    <tableColumn id="2" xr3:uid="{40E89CF9-5CAD-46F6-975D-F860EED34E81}" uniqueName="2" name="CL" queryTableFieldId="2"/>
    <tableColumn id="3" xr3:uid="{4B7A22D6-E487-4192-8097-FAA8AC363C2E}" uniqueName="3" name="CD" queryTableFieldId="3"/>
    <tableColumn id="4" xr3:uid="{16758DF7-CCD2-4500-9F35-5A5C2567D73C}" uniqueName="4" name="Thrust Required" queryTableFieldId="4"/>
    <tableColumn id="5" xr3:uid="{63DF22C0-5D01-4000-9AF4-A429B1EBE877}" uniqueName="5" name="L/D" queryTableFieldId="5"/>
    <tableColumn id="6" xr3:uid="{9A6B78DD-7A36-48C1-9BC6-9FBCF6AF5C48}" uniqueName="6" name="FFR" queryTableFieldId="6"/>
    <tableColumn id="7" xr3:uid="{2872A080-0B60-4443-B583-0DB3A921B76C}" uniqueName="7" name="Endurance" queryTableFieldId="7"/>
    <tableColumn id="8" xr3:uid="{7450B62C-59DA-4CDC-88A3-6804D4DFECE7}" uniqueName="8" name="SQRT(L)/D" queryTableFieldId="8"/>
    <tableColumn id="9" xr3:uid="{BCE28291-8AB1-4634-B804-7A64289A6611}" uniqueName="9" name="Range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CD85F9-E0CA-417F-9208-BD3882281F9F}" name="Numbers__10K" displayName="Numbers__10K" ref="A1:I56" tableType="queryTable" totalsRowShown="0">
  <autoFilter ref="A1:I56" xr:uid="{9CCD85F9-E0CA-417F-9208-BD3882281F9F}"/>
  <tableColumns count="9">
    <tableColumn id="1" xr3:uid="{EC16854D-E640-4B17-ABC0-CA6917DCF93A}" uniqueName="1" name="Mach" queryTableFieldId="1"/>
    <tableColumn id="2" xr3:uid="{3195FE34-25B6-4E79-A89B-1B5C2C4D543C}" uniqueName="2" name="CL" queryTableFieldId="2"/>
    <tableColumn id="3" xr3:uid="{7C397374-9C5C-486E-B05C-3E6FFD6A8D8B}" uniqueName="3" name="CD" queryTableFieldId="3"/>
    <tableColumn id="4" xr3:uid="{5E6C78D0-9793-47ED-A32F-A6EF9A02B008}" uniqueName="4" name="Thrust Required" queryTableFieldId="4"/>
    <tableColumn id="5" xr3:uid="{38B7E1E2-7610-411A-BC2C-3C34ABD9B82A}" uniqueName="5" name="L/D" queryTableFieldId="5"/>
    <tableColumn id="6" xr3:uid="{7A959B93-28C6-4582-9185-692736A8633D}" uniqueName="6" name="FFR" queryTableFieldId="6"/>
    <tableColumn id="7" xr3:uid="{80D396BE-AD3F-462A-9EA5-EC44F1831857}" uniqueName="7" name="Endurance" queryTableFieldId="7"/>
    <tableColumn id="8" xr3:uid="{76C6D8DE-C3B6-4E98-AF42-E4A52A5332E8}" uniqueName="8" name="SQRT(L)/D" queryTableFieldId="8"/>
    <tableColumn id="9" xr3:uid="{17006AFE-2D95-4D40-BBB1-DC671DED0A55}" uniqueName="9" name="Range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D5" workbookViewId="0">
      <selection activeCell="I12" sqref="I12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13"/>
  <sheetViews>
    <sheetView workbookViewId="0">
      <selection activeCell="F11" sqref="F11"/>
    </sheetView>
  </sheetViews>
  <sheetFormatPr defaultRowHeight="15" x14ac:dyDescent="0.25"/>
  <cols>
    <col min="1" max="1" width="20.5703125" bestFit="1" customWidth="1"/>
    <col min="3" max="3" width="6.140625" bestFit="1" customWidth="1"/>
    <col min="4" max="4" width="3.28515625" customWidth="1"/>
    <col min="5" max="5" width="21.140625" bestFit="1" customWidth="1"/>
  </cols>
  <sheetData>
    <row r="2" spans="1:7" x14ac:dyDescent="0.25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 x14ac:dyDescent="0.25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 x14ac:dyDescent="0.25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 x14ac:dyDescent="0.25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 x14ac:dyDescent="0.25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 x14ac:dyDescent="0.25">
      <c r="B7">
        <v>260</v>
      </c>
      <c r="C7" t="s">
        <v>24</v>
      </c>
      <c r="E7" t="s">
        <v>33</v>
      </c>
      <c r="F7">
        <v>1.6</v>
      </c>
    </row>
    <row r="8" spans="1:7" x14ac:dyDescent="0.25">
      <c r="A8" t="s">
        <v>26</v>
      </c>
      <c r="B8">
        <v>0.55000000000000004</v>
      </c>
      <c r="E8" t="s">
        <v>34</v>
      </c>
      <c r="F8">
        <v>2</v>
      </c>
    </row>
    <row r="9" spans="1:7" x14ac:dyDescent="0.25">
      <c r="A9" t="s">
        <v>25</v>
      </c>
      <c r="B9">
        <v>26000</v>
      </c>
      <c r="C9" t="s">
        <v>16</v>
      </c>
    </row>
    <row r="11" spans="1:7" x14ac:dyDescent="0.25">
      <c r="A11" t="s">
        <v>36</v>
      </c>
      <c r="B11">
        <v>202</v>
      </c>
      <c r="C11" t="s">
        <v>29</v>
      </c>
      <c r="E11" t="s">
        <v>37</v>
      </c>
      <c r="F11">
        <v>1.3</v>
      </c>
      <c r="G11" t="s">
        <v>38</v>
      </c>
    </row>
    <row r="13" spans="1:7" x14ac:dyDescent="0.25">
      <c r="A13" t="s">
        <v>20</v>
      </c>
      <c r="B13">
        <v>32.173999999999999</v>
      </c>
      <c r="C13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0EEA5-8F25-474E-885F-E8437D8D4EAC}">
  <dimension ref="A2:E14"/>
  <sheetViews>
    <sheetView workbookViewId="0">
      <selection activeCell="E11" sqref="E11"/>
    </sheetView>
  </sheetViews>
  <sheetFormatPr defaultRowHeight="15" x14ac:dyDescent="0.25"/>
  <cols>
    <col min="1" max="1" width="42.7109375" customWidth="1"/>
    <col min="2" max="3" width="8.7109375" customWidth="1"/>
    <col min="4" max="5" width="12.7109375" customWidth="1"/>
  </cols>
  <sheetData>
    <row r="2" spans="1:5" x14ac:dyDescent="0.25">
      <c r="A2" s="6" t="s">
        <v>55</v>
      </c>
    </row>
    <row r="3" spans="1:5" x14ac:dyDescent="0.25">
      <c r="A3" s="6" t="s">
        <v>54</v>
      </c>
    </row>
    <row r="4" spans="1:5" ht="15.75" thickBot="1" x14ac:dyDescent="0.3"/>
    <row r="5" spans="1:5" ht="16.5" thickBot="1" x14ac:dyDescent="0.3">
      <c r="A5" s="5" t="s">
        <v>53</v>
      </c>
      <c r="B5" s="4" t="s">
        <v>49</v>
      </c>
      <c r="C5" s="4" t="s">
        <v>48</v>
      </c>
      <c r="D5" s="4" t="s">
        <v>47</v>
      </c>
      <c r="E5" s="4" t="s">
        <v>46</v>
      </c>
    </row>
    <row r="6" spans="1:5" ht="16.5" thickBot="1" x14ac:dyDescent="0.3">
      <c r="A6" s="2" t="s">
        <v>52</v>
      </c>
      <c r="B6" s="3" t="s">
        <v>43</v>
      </c>
      <c r="C6" s="3" t="s">
        <v>42</v>
      </c>
      <c r="D6" s="8" cm="1">
        <f t="array" ref="D6">SQRT(((((tsl*linterp(0,atmos_h,atmos_dr))/perfweight)*(perfweight/wingarea))-((perfweight/wingarea)*SQRT(((tsl*linterp(0,atmos_h,atmos_dr))/perfweight)^2-(4*0.02*0.062))))/(linterp(0,atmos_h,atmos_rho)*0.02))</f>
        <v>75.350446079073791</v>
      </c>
      <c r="E6" s="8" cm="1">
        <f t="array" ref="E6">SQRT(((((tsl*linterp(10000,atmos_h,atmos_dr))/perfweight)*(perfweight/wingarea))-((perfweight/wingarea)*SQRT(((tsl*linterp(10000,atmos_h,atmos_dr))/perfweight)^2-(4*0.02*0.062))))/(linterp(10000,atmos_h,atmos_rho)*0.02))</f>
        <v>103.23812260673012</v>
      </c>
    </row>
    <row r="7" spans="1:5" ht="16.5" thickBot="1" x14ac:dyDescent="0.3">
      <c r="A7" s="2" t="s">
        <v>41</v>
      </c>
      <c r="B7" s="1" t="s">
        <v>40</v>
      </c>
      <c r="C7" s="1" t="s">
        <v>39</v>
      </c>
      <c r="D7" s="7" cm="1">
        <f t="array" ref="D7">D6/linterp(0,atmos_h,atmos_aspeed)</f>
        <v>6.7490502193606389E-2</v>
      </c>
      <c r="E7" s="7" cm="1">
        <f t="array" ref="E7">E6/linterp(10000,atmos_h,atmos_aspeed)</f>
        <v>9.5825093382648441E-2</v>
      </c>
    </row>
    <row r="8" spans="1:5" ht="16.5" thickBot="1" x14ac:dyDescent="0.3">
      <c r="A8" s="2" t="s">
        <v>51</v>
      </c>
      <c r="B8" s="3" t="s">
        <v>43</v>
      </c>
      <c r="C8" s="3" t="s">
        <v>42</v>
      </c>
      <c r="D8" s="8" cm="1">
        <f t="array" ref="D8">SQRT((2/linterp(0,atmos_h,atmos_rho))*(perfweight/wingarea)*(1/clflight))</f>
        <v>121.82137429564482</v>
      </c>
      <c r="E8" s="8" cm="1">
        <f t="array" ref="E8">SQRT((2/linterp(10000,atmos_h,atmos_rho))*(perfweight/wingarea)*(1/clflight))</f>
        <v>141.77584061016009</v>
      </c>
    </row>
    <row r="9" spans="1:5" ht="16.5" thickBot="1" x14ac:dyDescent="0.3">
      <c r="A9" s="2" t="s">
        <v>41</v>
      </c>
      <c r="B9" s="1" t="s">
        <v>40</v>
      </c>
      <c r="C9" s="1" t="s">
        <v>39</v>
      </c>
      <c r="D9" s="7" cm="1">
        <f t="array" ref="D9">D8/linterp(0,atmos_h,atmos_aspeed)</f>
        <v>0.10911396225180016</v>
      </c>
      <c r="E9" s="7" cm="1">
        <f t="array" ref="E9">E8/linterp(10000,atmos_h,atmos_aspeed)</f>
        <v>0.13159560463555367</v>
      </c>
    </row>
    <row r="10" spans="1:5" ht="16.5" thickBot="1" x14ac:dyDescent="0.3">
      <c r="A10" s="5" t="s">
        <v>50</v>
      </c>
      <c r="B10" s="4" t="s">
        <v>49</v>
      </c>
      <c r="C10" s="4" t="s">
        <v>48</v>
      </c>
      <c r="D10" s="4" t="s">
        <v>47</v>
      </c>
      <c r="E10" s="4" t="s">
        <v>46</v>
      </c>
    </row>
    <row r="11" spans="1:5" ht="16.5" thickBot="1" x14ac:dyDescent="0.3">
      <c r="A11" s="2" t="s">
        <v>45</v>
      </c>
      <c r="B11" s="3" t="s">
        <v>43</v>
      </c>
      <c r="C11" s="3" t="s">
        <v>42</v>
      </c>
      <c r="D11" s="8" cm="1">
        <f t="array" ref="D11">SQRT(((((tsl*linterp(0,atmos_h,atmos_dr))/perfweight)*(perfweight/wingarea))+((perfweight/wingarea)*SQRT(((tsl*linterp(0,atmos_h,atmos_dr))/perfweight)^2-(4*0.02*0.062))))/(linterp(0,atmos_h,atmos_rho)*0.02))</f>
        <v>468.14002807938823</v>
      </c>
      <c r="E11" s="8" cm="1">
        <f t="array" ref="E11">SQRT(((((tsl*linterp(10000,atmos_h,atmos_dr))/perfweight)*(perfweight/wingarea))+((perfweight/wingarea)*SQRT(((tsl*linterp(10000,atmos_h,atmos_dr))/perfweight)^2-(4*0.02*0.062))))/(linterp(10000,atmos_h,atmos_rho)*0.02))</f>
        <v>462.78468577218871</v>
      </c>
    </row>
    <row r="12" spans="1:5" ht="16.5" thickBot="1" x14ac:dyDescent="0.3">
      <c r="A12" s="2" t="s">
        <v>41</v>
      </c>
      <c r="B12" s="1" t="s">
        <v>40</v>
      </c>
      <c r="C12" s="1" t="s">
        <v>39</v>
      </c>
      <c r="D12" s="7" cm="1">
        <f t="array" ref="D12">D11/linterp(0,atmos_h,atmos_aspeed)</f>
        <v>0.41930747906721982</v>
      </c>
      <c r="E12" s="7" cm="1">
        <f t="array" ref="E12">E11/linterp(10000,atmos_h,atmos_aspeed)</f>
        <v>0.42955436044793638</v>
      </c>
    </row>
    <row r="13" spans="1:5" ht="16.5" thickBot="1" x14ac:dyDescent="0.3">
      <c r="A13" s="2" t="s">
        <v>44</v>
      </c>
      <c r="B13" s="3" t="s">
        <v>43</v>
      </c>
      <c r="C13" s="3" t="s">
        <v>42</v>
      </c>
      <c r="D13" s="8" cm="1">
        <f t="array" ref="D13">260/linterp(0,atmos_h,atmos_sqrtdr)</f>
        <v>260</v>
      </c>
      <c r="E13" s="8" cm="1">
        <f t="array" ref="E13">260/linterp(10000,atmos_h,atmos_sqrtdr)</f>
        <v>302.60707635009311</v>
      </c>
    </row>
    <row r="14" spans="1:5" ht="16.5" thickBot="1" x14ac:dyDescent="0.3">
      <c r="A14" s="2" t="s">
        <v>41</v>
      </c>
      <c r="B14" s="1" t="s">
        <v>40</v>
      </c>
      <c r="C14" s="1" t="s">
        <v>39</v>
      </c>
      <c r="D14" s="7" cm="1">
        <f t="array" ref="D14">D13/linterp(0,atmos_h,atmos_aspeed)</f>
        <v>0.23287892087490819</v>
      </c>
      <c r="E14" s="7" cm="1">
        <f t="array" ref="E14">E13/linterp(10000,atmos_h,atmos_aspeed)</f>
        <v>0.2808783288316748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B63FC-DF81-498A-A668-220C013ABD41}">
  <dimension ref="A1:N105"/>
  <sheetViews>
    <sheetView workbookViewId="0"/>
  </sheetViews>
  <sheetFormatPr defaultRowHeight="15" x14ac:dyDescent="0.25"/>
  <cols>
    <col min="1" max="1" width="10.5703125" bestFit="1" customWidth="1"/>
    <col min="2" max="2" width="12.140625" bestFit="1" customWidth="1"/>
    <col min="3" max="3" width="12.85546875" bestFit="1" customWidth="1"/>
    <col min="4" max="4" width="12.42578125" bestFit="1" customWidth="1"/>
    <col min="5" max="5" width="13.140625" bestFit="1" customWidth="1"/>
    <col min="6" max="6" width="14.140625" bestFit="1" customWidth="1"/>
    <col min="7" max="7" width="11.5703125" bestFit="1" customWidth="1"/>
    <col min="8" max="8" width="16" bestFit="1" customWidth="1"/>
    <col min="9" max="9" width="17.7109375" bestFit="1" customWidth="1"/>
    <col min="10" max="10" width="17.42578125" bestFit="1" customWidth="1"/>
    <col min="11" max="11" width="6.28515625" bestFit="1" customWidth="1"/>
    <col min="12" max="12" width="18" bestFit="1" customWidth="1"/>
    <col min="13" max="13" width="19.85546875" bestFit="1" customWidth="1"/>
    <col min="14" max="14" width="19.5703125" bestFit="1" customWidth="1"/>
  </cols>
  <sheetData>
    <row r="1" spans="1:14" x14ac:dyDescent="0.25">
      <c r="A1" t="s">
        <v>56</v>
      </c>
      <c r="B1" t="s">
        <v>57</v>
      </c>
      <c r="C1" t="s">
        <v>58</v>
      </c>
      <c r="D1" t="s">
        <v>59</v>
      </c>
      <c r="E1" t="s">
        <v>60</v>
      </c>
      <c r="F1" t="s">
        <v>61</v>
      </c>
      <c r="G1" t="s">
        <v>47</v>
      </c>
      <c r="H1" t="s">
        <v>62</v>
      </c>
      <c r="I1" t="s">
        <v>63</v>
      </c>
      <c r="J1" t="s">
        <v>64</v>
      </c>
      <c r="K1" t="s">
        <v>65</v>
      </c>
      <c r="L1" t="s">
        <v>66</v>
      </c>
      <c r="M1" t="s">
        <v>67</v>
      </c>
      <c r="N1" t="s">
        <v>68</v>
      </c>
    </row>
    <row r="2" spans="1:14" x14ac:dyDescent="0.25">
      <c r="A2">
        <v>250</v>
      </c>
      <c r="B2">
        <v>0.1850043586433936</v>
      </c>
      <c r="C2">
        <v>122.26475551845274</v>
      </c>
      <c r="D2">
        <v>0.55000000000000004</v>
      </c>
      <c r="E2">
        <v>260.95247653936866</v>
      </c>
      <c r="F2">
        <v>0.39485905283051814</v>
      </c>
      <c r="H2">
        <v>0</v>
      </c>
      <c r="I2">
        <v>0</v>
      </c>
      <c r="J2">
        <v>0</v>
      </c>
      <c r="L2">
        <v>0</v>
      </c>
      <c r="M2">
        <v>0</v>
      </c>
      <c r="N2">
        <v>0</v>
      </c>
    </row>
    <row r="3" spans="1:14" x14ac:dyDescent="0.25">
      <c r="A3">
        <v>500</v>
      </c>
      <c r="B3">
        <v>0.18584433355009536</v>
      </c>
      <c r="C3">
        <v>122.71301344312795</v>
      </c>
      <c r="D3">
        <v>0.55000000000000004</v>
      </c>
      <c r="E3">
        <v>261.91195728820389</v>
      </c>
      <c r="F3">
        <v>0.3966560007393668</v>
      </c>
      <c r="H3">
        <v>0.01</v>
      </c>
      <c r="I3">
        <v>8.3992275423936478E-3</v>
      </c>
      <c r="J3">
        <v>-8.3992275423936478E-3</v>
      </c>
      <c r="L3">
        <v>0.01</v>
      </c>
      <c r="M3">
        <v>5.774537849558406E-3</v>
      </c>
      <c r="N3">
        <v>-5.774537849558406E-3</v>
      </c>
    </row>
    <row r="4" spans="1:14" x14ac:dyDescent="0.25">
      <c r="A4">
        <v>750</v>
      </c>
      <c r="B4">
        <v>0.18669330118976854</v>
      </c>
      <c r="C4">
        <v>123.16623812742006</v>
      </c>
      <c r="D4">
        <v>0.55000000000000004</v>
      </c>
      <c r="E4">
        <v>262.87851979171933</v>
      </c>
      <c r="F4">
        <v>0.3984668154029623</v>
      </c>
      <c r="H4">
        <v>0.02</v>
      </c>
      <c r="I4">
        <v>3.3596910169574591E-2</v>
      </c>
      <c r="J4">
        <v>-3.3596910169574591E-2</v>
      </c>
      <c r="L4">
        <v>0.02</v>
      </c>
      <c r="M4">
        <v>2.3098151398233624E-2</v>
      </c>
      <c r="N4">
        <v>-2.3098151398233624E-2</v>
      </c>
    </row>
    <row r="5" spans="1:14" x14ac:dyDescent="0.25">
      <c r="A5">
        <v>1000</v>
      </c>
      <c r="B5">
        <v>0.18755142528216351</v>
      </c>
      <c r="C5">
        <v>123.62452197473807</v>
      </c>
      <c r="D5">
        <v>0.55000000000000004</v>
      </c>
      <c r="E5">
        <v>263.85224274406329</v>
      </c>
      <c r="F5">
        <v>0.40029165249801002</v>
      </c>
      <c r="H5">
        <v>0.03</v>
      </c>
      <c r="I5">
        <v>7.5593047881542821E-2</v>
      </c>
      <c r="J5">
        <v>-7.5593047881542821E-2</v>
      </c>
      <c r="L5">
        <v>0.03</v>
      </c>
      <c r="M5">
        <v>5.1970840646025633E-2</v>
      </c>
      <c r="N5">
        <v>-5.1970840646025633E-2</v>
      </c>
    </row>
    <row r="6" spans="1:14" x14ac:dyDescent="0.25">
      <c r="A6">
        <v>1250</v>
      </c>
      <c r="B6">
        <v>0.18839186540525427</v>
      </c>
      <c r="C6">
        <v>124.07299863724639</v>
      </c>
      <c r="D6">
        <v>0.55000000000000004</v>
      </c>
      <c r="E6">
        <v>264.81297583581596</v>
      </c>
      <c r="F6">
        <v>0.40209079371963741</v>
      </c>
      <c r="H6">
        <v>0.04</v>
      </c>
      <c r="I6">
        <v>0.13438764067829836</v>
      </c>
      <c r="J6">
        <v>-0.13438764067829836</v>
      </c>
      <c r="L6">
        <v>0.04</v>
      </c>
      <c r="M6">
        <v>9.2392605592934496E-2</v>
      </c>
      <c r="N6">
        <v>-9.2392605592934496E-2</v>
      </c>
    </row>
    <row r="7" spans="1:14" x14ac:dyDescent="0.25">
      <c r="A7">
        <v>1500</v>
      </c>
      <c r="B7">
        <v>0.18924120760777138</v>
      </c>
      <c r="C7">
        <v>124.52639184214181</v>
      </c>
      <c r="D7">
        <v>0.55000000000000004</v>
      </c>
      <c r="E7">
        <v>265.78073089700996</v>
      </c>
      <c r="F7">
        <v>0.40390366836923847</v>
      </c>
      <c r="H7">
        <v>0.05</v>
      </c>
      <c r="I7">
        <v>0.20998068855984126</v>
      </c>
      <c r="J7">
        <v>-0.20998068855984126</v>
      </c>
      <c r="L7">
        <v>0.05</v>
      </c>
      <c r="M7">
        <v>0.14436344623896011</v>
      </c>
      <c r="N7">
        <v>-0.14436344623896011</v>
      </c>
    </row>
    <row r="8" spans="1:14" x14ac:dyDescent="0.25">
      <c r="A8">
        <v>1750</v>
      </c>
      <c r="B8">
        <v>0.19009961227502392</v>
      </c>
      <c r="C8">
        <v>124.98479208245999</v>
      </c>
      <c r="D8">
        <v>0.55000000000000004</v>
      </c>
      <c r="E8">
        <v>266.75558519506501</v>
      </c>
      <c r="F8">
        <v>0.40573042906150092</v>
      </c>
      <c r="H8">
        <v>0.06</v>
      </c>
      <c r="I8">
        <v>0.30237219152617129</v>
      </c>
      <c r="J8">
        <v>-0.30237219152617129</v>
      </c>
      <c r="L8">
        <v>0.06</v>
      </c>
      <c r="M8">
        <v>0.20788336258410253</v>
      </c>
      <c r="N8">
        <v>-0.20788336258410253</v>
      </c>
    </row>
    <row r="9" spans="1:14" x14ac:dyDescent="0.25">
      <c r="A9">
        <v>2000</v>
      </c>
      <c r="B9">
        <v>0.19096724391526404</v>
      </c>
      <c r="C9">
        <v>125.4482922003761</v>
      </c>
      <c r="D9">
        <v>0.55000000000000004</v>
      </c>
      <c r="E9">
        <v>267.73761713520753</v>
      </c>
      <c r="F9">
        <v>0.4075712306635727</v>
      </c>
      <c r="H9">
        <v>7.0000000000000007E-2</v>
      </c>
      <c r="I9">
        <v>0.41156214957728882</v>
      </c>
      <c r="J9">
        <v>-0.41156214957728882</v>
      </c>
      <c r="L9">
        <v>7.0000000000000007E-2</v>
      </c>
      <c r="M9">
        <v>0.28295235462836182</v>
      </c>
      <c r="N9">
        <v>-0.28295235462836182</v>
      </c>
    </row>
    <row r="10" spans="1:14" x14ac:dyDescent="0.25">
      <c r="A10">
        <v>2250</v>
      </c>
      <c r="B10">
        <v>0.19184173362887033</v>
      </c>
      <c r="C10">
        <v>125.91196463697054</v>
      </c>
      <c r="D10">
        <v>0.55000000000000004</v>
      </c>
      <c r="E10">
        <v>268.73385012919897</v>
      </c>
      <c r="F10">
        <v>0.4094477267683666</v>
      </c>
      <c r="H10">
        <v>0.08</v>
      </c>
      <c r="I10">
        <v>0.53755056271319346</v>
      </c>
      <c r="J10">
        <v>-0.53755056271319346</v>
      </c>
      <c r="L10">
        <v>0.08</v>
      </c>
      <c r="M10">
        <v>0.36957042237173798</v>
      </c>
      <c r="N10">
        <v>-0.36957042237173798</v>
      </c>
    </row>
    <row r="11" spans="1:14" x14ac:dyDescent="0.25">
      <c r="A11">
        <v>2500</v>
      </c>
      <c r="B11">
        <v>0.19272566240023181</v>
      </c>
      <c r="C11">
        <v>126.38081674726401</v>
      </c>
      <c r="D11">
        <v>0.55000000000000004</v>
      </c>
      <c r="E11">
        <v>269.73752463948546</v>
      </c>
      <c r="F11">
        <v>0.41133887601236052</v>
      </c>
      <c r="H11">
        <v>0.09</v>
      </c>
      <c r="I11">
        <v>0.68033743093388532</v>
      </c>
      <c r="J11">
        <v>-0.68033743093388532</v>
      </c>
      <c r="L11">
        <v>0.09</v>
      </c>
      <c r="M11">
        <v>0.46773756581423076</v>
      </c>
      <c r="N11">
        <v>-0.46773756581423076</v>
      </c>
    </row>
    <row r="12" spans="1:14" x14ac:dyDescent="0.25">
      <c r="A12">
        <v>2750</v>
      </c>
      <c r="B12">
        <v>0.1936192034857008</v>
      </c>
      <c r="C12">
        <v>126.85494569175273</v>
      </c>
      <c r="D12">
        <v>0.55000000000000004</v>
      </c>
      <c r="E12">
        <v>270.74872435697182</v>
      </c>
      <c r="F12">
        <v>0.41324484488092433</v>
      </c>
      <c r="H12">
        <v>0.1</v>
      </c>
      <c r="I12">
        <v>0.83992275423936502</v>
      </c>
      <c r="J12">
        <v>-0.83992275423936502</v>
      </c>
      <c r="L12">
        <v>0.1</v>
      </c>
      <c r="M12">
        <v>0.57745378495584043</v>
      </c>
      <c r="N12">
        <v>-0.57745378495584043</v>
      </c>
    </row>
    <row r="13" spans="1:14" x14ac:dyDescent="0.25">
      <c r="A13">
        <v>3000</v>
      </c>
      <c r="B13">
        <v>0.19452253468039196</v>
      </c>
      <c r="C13">
        <v>127.33445120178459</v>
      </c>
      <c r="D13">
        <v>0.55000000000000004</v>
      </c>
      <c r="E13">
        <v>271.76753423225671</v>
      </c>
      <c r="F13">
        <v>0.41516580237130568</v>
      </c>
      <c r="H13">
        <v>0.11</v>
      </c>
      <c r="I13">
        <v>1.0163065326296314</v>
      </c>
      <c r="J13">
        <v>-1.0163065326296314</v>
      </c>
      <c r="L13">
        <v>0.11</v>
      </c>
      <c r="M13">
        <v>0.69871907979656689</v>
      </c>
      <c r="N13">
        <v>-0.69871907979656689</v>
      </c>
    </row>
    <row r="14" spans="1:14" x14ac:dyDescent="0.25">
      <c r="A14">
        <v>3250</v>
      </c>
      <c r="B14">
        <v>0.19543405124909524</v>
      </c>
      <c r="C14">
        <v>127.81728961280515</v>
      </c>
      <c r="D14">
        <v>0.55000000000000004</v>
      </c>
      <c r="E14">
        <v>272.80119612832146</v>
      </c>
      <c r="F14">
        <v>0.4171160498431945</v>
      </c>
      <c r="H14">
        <v>0.12</v>
      </c>
      <c r="I14">
        <v>1.2094887661046851</v>
      </c>
      <c r="J14">
        <v>-1.2094887661046851</v>
      </c>
      <c r="L14">
        <v>0.12</v>
      </c>
      <c r="M14">
        <v>0.83153345033641013</v>
      </c>
      <c r="N14">
        <v>-0.83153345033641013</v>
      </c>
    </row>
    <row r="15" spans="1:14" x14ac:dyDescent="0.25">
      <c r="A15">
        <v>3500</v>
      </c>
      <c r="B15">
        <v>0.19635566295476761</v>
      </c>
      <c r="C15">
        <v>128.30566262284856</v>
      </c>
      <c r="D15">
        <v>0.55000000000000004</v>
      </c>
      <c r="E15">
        <v>273.84275106640689</v>
      </c>
      <c r="F15">
        <v>0.4190818536907373</v>
      </c>
      <c r="H15">
        <v>0.13</v>
      </c>
      <c r="I15">
        <v>1.4194694546645266</v>
      </c>
      <c r="J15">
        <v>-1.4194694546645266</v>
      </c>
      <c r="L15">
        <v>0.13</v>
      </c>
      <c r="M15">
        <v>0.97589689657537015</v>
      </c>
      <c r="N15">
        <v>-0.97589689657537015</v>
      </c>
    </row>
    <row r="16" spans="1:14" x14ac:dyDescent="0.25">
      <c r="A16">
        <v>3750</v>
      </c>
      <c r="B16">
        <v>0.19728756002546044</v>
      </c>
      <c r="C16">
        <v>128.7996767815219</v>
      </c>
      <c r="D16">
        <v>0.55000000000000004</v>
      </c>
      <c r="E16">
        <v>274.89228979991015</v>
      </c>
      <c r="F16">
        <v>0.42106339456448455</v>
      </c>
      <c r="H16">
        <v>0.14000000000000001</v>
      </c>
      <c r="I16">
        <v>1.6462485983091553</v>
      </c>
      <c r="J16">
        <v>-1.5</v>
      </c>
      <c r="L16">
        <v>0.14000000000000001</v>
      </c>
      <c r="M16">
        <v>1.1318094185134473</v>
      </c>
      <c r="N16">
        <v>-1.1318094185134473</v>
      </c>
    </row>
    <row r="17" spans="1:14" x14ac:dyDescent="0.25">
      <c r="A17">
        <v>4000</v>
      </c>
      <c r="B17">
        <v>0.1982299378056146</v>
      </c>
      <c r="C17">
        <v>129.29944153246822</v>
      </c>
      <c r="D17">
        <v>0.55000000000000004</v>
      </c>
      <c r="E17">
        <v>275.9499044788792</v>
      </c>
      <c r="F17">
        <v>0.42306085590151199</v>
      </c>
      <c r="H17">
        <v>0.15</v>
      </c>
      <c r="I17">
        <v>1.8898261970385706</v>
      </c>
      <c r="J17">
        <v>-1.5</v>
      </c>
      <c r="L17">
        <v>0.15</v>
      </c>
      <c r="M17">
        <v>1.2992710161506411</v>
      </c>
      <c r="N17">
        <v>-1.2992710161506411</v>
      </c>
    </row>
    <row r="18" spans="1:14" x14ac:dyDescent="0.25">
      <c r="A18">
        <v>4250</v>
      </c>
      <c r="B18">
        <v>0.19912355779047064</v>
      </c>
      <c r="C18">
        <v>129.76981822983865</v>
      </c>
      <c r="D18">
        <v>0.55000000000000004</v>
      </c>
      <c r="E18">
        <v>276.96404793608525</v>
      </c>
      <c r="F18">
        <v>0.42498377016608019</v>
      </c>
      <c r="H18">
        <v>0.16</v>
      </c>
      <c r="I18">
        <v>2.1502022508527738</v>
      </c>
      <c r="J18">
        <v>-1.5</v>
      </c>
      <c r="L18">
        <v>0.16</v>
      </c>
      <c r="M18">
        <v>1.4782816894869519</v>
      </c>
      <c r="N18">
        <v>-1.4782816894869519</v>
      </c>
    </row>
    <row r="19" spans="1:14" x14ac:dyDescent="0.25">
      <c r="A19">
        <v>4500</v>
      </c>
      <c r="B19">
        <v>0.20002667029225196</v>
      </c>
      <c r="C19">
        <v>130.24536609409694</v>
      </c>
      <c r="D19">
        <v>0.55000000000000004</v>
      </c>
      <c r="E19">
        <v>277.98567304608144</v>
      </c>
      <c r="F19">
        <v>0.42692151157367303</v>
      </c>
      <c r="H19">
        <v>0.17</v>
      </c>
      <c r="I19">
        <v>2.4273767597517639</v>
      </c>
      <c r="J19">
        <v>-1.5</v>
      </c>
      <c r="L19">
        <v>0.17</v>
      </c>
      <c r="M19">
        <v>1.6688414385223791</v>
      </c>
      <c r="N19">
        <v>-1.5</v>
      </c>
    </row>
    <row r="20" spans="1:14" x14ac:dyDescent="0.25">
      <c r="A20">
        <v>4750</v>
      </c>
      <c r="B20">
        <v>0.20093944675895223</v>
      </c>
      <c r="C20">
        <v>130.72618057520535</v>
      </c>
      <c r="D20">
        <v>0.55000000000000004</v>
      </c>
      <c r="E20">
        <v>279.01486290712023</v>
      </c>
      <c r="F20">
        <v>0.42887424648521727</v>
      </c>
      <c r="H20">
        <v>0.18</v>
      </c>
      <c r="I20">
        <v>2.7213497237355413</v>
      </c>
      <c r="J20">
        <v>-1.5</v>
      </c>
      <c r="L20">
        <v>0.18</v>
      </c>
      <c r="M20">
        <v>1.870950263256923</v>
      </c>
      <c r="N20">
        <v>-1.5</v>
      </c>
    </row>
    <row r="21" spans="1:14" x14ac:dyDescent="0.25">
      <c r="A21">
        <v>5000</v>
      </c>
      <c r="B21">
        <v>0.20186206305754456</v>
      </c>
      <c r="C21">
        <v>131.21235960803455</v>
      </c>
      <c r="D21">
        <v>0.55000000000000004</v>
      </c>
      <c r="E21">
        <v>280.05170185264973</v>
      </c>
      <c r="F21">
        <v>0.43084214374032664</v>
      </c>
      <c r="H21">
        <v>0.19</v>
      </c>
      <c r="I21">
        <v>3.0321211428041073</v>
      </c>
      <c r="J21">
        <v>-1.5</v>
      </c>
      <c r="L21">
        <v>0.19</v>
      </c>
      <c r="M21">
        <v>2.084608163690584</v>
      </c>
      <c r="N21">
        <v>-1.5</v>
      </c>
    </row>
    <row r="22" spans="1:14" x14ac:dyDescent="0.25">
      <c r="A22">
        <v>5250</v>
      </c>
      <c r="B22">
        <v>0.2028188985681916</v>
      </c>
      <c r="C22">
        <v>131.71566320264782</v>
      </c>
      <c r="D22">
        <v>0.55000000000000004</v>
      </c>
      <c r="E22">
        <v>281.12666918959832</v>
      </c>
      <c r="F22">
        <v>0.43288550516164043</v>
      </c>
      <c r="H22">
        <v>0.2</v>
      </c>
      <c r="I22">
        <v>3.3596910169574601</v>
      </c>
      <c r="J22">
        <v>-1.5</v>
      </c>
      <c r="L22">
        <v>0.2</v>
      </c>
      <c r="M22">
        <v>2.3098151398233617</v>
      </c>
      <c r="N22">
        <v>-1.5</v>
      </c>
    </row>
    <row r="23" spans="1:14" x14ac:dyDescent="0.25">
      <c r="A23">
        <v>5500</v>
      </c>
      <c r="B23">
        <v>0.20378645474039075</v>
      </c>
      <c r="C23">
        <v>132.22480329375512</v>
      </c>
      <c r="D23">
        <v>0.55000000000000004</v>
      </c>
      <c r="E23">
        <v>282.20992076413762</v>
      </c>
      <c r="F23">
        <v>0.43494531897561439</v>
      </c>
      <c r="H23">
        <v>0.21</v>
      </c>
      <c r="I23">
        <v>3.7040593461955993</v>
      </c>
      <c r="J23">
        <v>-1.5</v>
      </c>
      <c r="L23">
        <v>0.21</v>
      </c>
      <c r="M23">
        <v>2.5465711916552558</v>
      </c>
      <c r="N23">
        <v>-1.5</v>
      </c>
    </row>
    <row r="24" spans="1:14" x14ac:dyDescent="0.25">
      <c r="A24">
        <v>5750</v>
      </c>
      <c r="B24">
        <v>0.20476493596527601</v>
      </c>
      <c r="C24">
        <v>132.73989356416999</v>
      </c>
      <c r="D24">
        <v>0.55000000000000004</v>
      </c>
      <c r="E24">
        <v>283.3015527104331</v>
      </c>
      <c r="F24">
        <v>0.43702177802012032</v>
      </c>
      <c r="H24">
        <v>0.22</v>
      </c>
      <c r="I24">
        <v>4.0652261305185258</v>
      </c>
      <c r="J24">
        <v>-1.5</v>
      </c>
      <c r="L24">
        <v>0.22</v>
      </c>
      <c r="M24">
        <v>2.7948763191862676</v>
      </c>
      <c r="N24">
        <v>-1.5</v>
      </c>
    </row>
    <row r="25" spans="1:14" x14ac:dyDescent="0.25">
      <c r="A25">
        <v>6000</v>
      </c>
      <c r="B25">
        <v>0.20575455219646302</v>
      </c>
      <c r="C25">
        <v>133.26105082108319</v>
      </c>
      <c r="D25">
        <v>0.55000000000000004</v>
      </c>
      <c r="E25">
        <v>284.40166265587396</v>
      </c>
      <c r="F25">
        <v>0.43911507813527567</v>
      </c>
      <c r="H25">
        <v>0.23</v>
      </c>
      <c r="I25">
        <v>4.4431913699262395</v>
      </c>
      <c r="J25">
        <v>-1.5</v>
      </c>
      <c r="L25">
        <v>0.23</v>
      </c>
      <c r="M25">
        <v>3.054730522416397</v>
      </c>
      <c r="N25">
        <v>-1.5</v>
      </c>
    </row>
    <row r="26" spans="1:14" x14ac:dyDescent="0.25">
      <c r="A26">
        <v>6250</v>
      </c>
      <c r="B26">
        <v>0.20672669721667031</v>
      </c>
      <c r="C26">
        <v>133.76871123496301</v>
      </c>
      <c r="D26">
        <v>0.55000000000000004</v>
      </c>
      <c r="E26">
        <v>285.49467442626548</v>
      </c>
      <c r="F26">
        <v>0.44120460287177088</v>
      </c>
      <c r="H26">
        <v>0.24</v>
      </c>
      <c r="I26">
        <v>4.8379550644187406</v>
      </c>
      <c r="J26">
        <v>-1.5</v>
      </c>
      <c r="L26">
        <v>0.24</v>
      </c>
      <c r="M26">
        <v>3.3261338013456405</v>
      </c>
      <c r="N26">
        <v>-1.5</v>
      </c>
    </row>
    <row r="27" spans="1:14" x14ac:dyDescent="0.25">
      <c r="A27">
        <v>6500</v>
      </c>
      <c r="B27">
        <v>0.20770965990476697</v>
      </c>
      <c r="C27">
        <v>134.2822180318328</v>
      </c>
      <c r="D27">
        <v>0.55000000000000004</v>
      </c>
      <c r="E27">
        <v>286.59611992945327</v>
      </c>
      <c r="F27">
        <v>0.443310986913105</v>
      </c>
      <c r="H27">
        <v>0.25</v>
      </c>
      <c r="I27">
        <v>5.2495172139960307</v>
      </c>
      <c r="J27">
        <v>-1.5</v>
      </c>
      <c r="L27">
        <v>0.25</v>
      </c>
      <c r="M27">
        <v>3.6090861559740031</v>
      </c>
      <c r="N27">
        <v>-1.5</v>
      </c>
    </row>
    <row r="28" spans="1:14" x14ac:dyDescent="0.25">
      <c r="A28">
        <v>6750</v>
      </c>
      <c r="B28">
        <v>0.20870364498363833</v>
      </c>
      <c r="C28">
        <v>134.80168429493199</v>
      </c>
      <c r="D28">
        <v>0.55000000000000004</v>
      </c>
      <c r="E28">
        <v>287.70609715613591</v>
      </c>
      <c r="F28">
        <v>0.44543442817175399</v>
      </c>
      <c r="H28">
        <v>0.26</v>
      </c>
      <c r="I28">
        <v>5.6778778186581063</v>
      </c>
      <c r="J28">
        <v>-1.5</v>
      </c>
      <c r="L28">
        <v>0.26</v>
      </c>
      <c r="M28">
        <v>3.9035875863014806</v>
      </c>
      <c r="N28">
        <v>-1.5</v>
      </c>
    </row>
    <row r="29" spans="1:14" x14ac:dyDescent="0.25">
      <c r="A29">
        <v>7000</v>
      </c>
      <c r="B29">
        <v>0.20970886270724301</v>
      </c>
      <c r="C29">
        <v>135.32722619361098</v>
      </c>
      <c r="D29">
        <v>0.55000000000000004</v>
      </c>
      <c r="E29">
        <v>288.82470562097313</v>
      </c>
      <c r="F29">
        <v>0.4475751276455861</v>
      </c>
      <c r="H29">
        <v>0.27</v>
      </c>
      <c r="I29">
        <v>6</v>
      </c>
      <c r="J29">
        <v>-1.5</v>
      </c>
      <c r="L29">
        <v>0.27</v>
      </c>
      <c r="M29">
        <v>4.2096380923280767</v>
      </c>
      <c r="N29">
        <v>-1.5</v>
      </c>
    </row>
    <row r="30" spans="1:14" x14ac:dyDescent="0.25">
      <c r="A30">
        <v>7250</v>
      </c>
      <c r="B30">
        <v>0.21067393638252457</v>
      </c>
      <c r="C30">
        <v>135.82991374326889</v>
      </c>
      <c r="D30">
        <v>0.55000000000000004</v>
      </c>
      <c r="E30">
        <v>289.90355131850362</v>
      </c>
      <c r="F30">
        <v>0.44964412215544813</v>
      </c>
      <c r="H30">
        <v>0.28000000000000003</v>
      </c>
      <c r="I30">
        <v>6</v>
      </c>
      <c r="J30">
        <v>-1.5</v>
      </c>
      <c r="L30">
        <v>0.28000000000000003</v>
      </c>
      <c r="M30">
        <v>4.5272376740537892</v>
      </c>
      <c r="N30">
        <v>-1.5</v>
      </c>
    </row>
    <row r="31" spans="1:14" x14ac:dyDescent="0.25">
      <c r="A31">
        <v>7500</v>
      </c>
      <c r="B31">
        <v>0.21164947932391148</v>
      </c>
      <c r="C31">
        <v>136.33824509608405</v>
      </c>
      <c r="D31">
        <v>0.55000000000000004</v>
      </c>
      <c r="E31">
        <v>290.99048684946837</v>
      </c>
      <c r="F31">
        <v>0.45172933674258098</v>
      </c>
      <c r="H31">
        <v>0.28999999999999998</v>
      </c>
      <c r="I31">
        <v>6</v>
      </c>
      <c r="J31">
        <v>-1.5</v>
      </c>
      <c r="L31">
        <v>0.28999999999999998</v>
      </c>
      <c r="M31">
        <v>4.8563863314786166</v>
      </c>
      <c r="N31">
        <v>-1.5</v>
      </c>
    </row>
    <row r="32" spans="1:14" x14ac:dyDescent="0.25">
      <c r="A32">
        <v>7750</v>
      </c>
      <c r="B32">
        <v>0.21263568467389787</v>
      </c>
      <c r="C32">
        <v>136.85232665612065</v>
      </c>
      <c r="D32">
        <v>0.55000000000000004</v>
      </c>
      <c r="E32">
        <v>292.08560354996348</v>
      </c>
      <c r="F32">
        <v>0.45383095641697252</v>
      </c>
      <c r="H32">
        <v>0.3</v>
      </c>
      <c r="I32">
        <v>6</v>
      </c>
      <c r="J32">
        <v>-1.5</v>
      </c>
      <c r="L32">
        <v>0.3</v>
      </c>
      <c r="M32">
        <v>5.1970840646025644</v>
      </c>
      <c r="N32">
        <v>-1.5</v>
      </c>
    </row>
    <row r="33" spans="1:14" x14ac:dyDescent="0.25">
      <c r="A33">
        <v>8000</v>
      </c>
      <c r="B33">
        <v>0.21363275066058918</v>
      </c>
      <c r="C33">
        <v>137.37226765727866</v>
      </c>
      <c r="D33">
        <v>0.55000000000000004</v>
      </c>
      <c r="E33">
        <v>293.18899413622012</v>
      </c>
      <c r="F33">
        <v>0.45594916899090265</v>
      </c>
      <c r="H33">
        <v>0.31</v>
      </c>
      <c r="I33">
        <v>6</v>
      </c>
      <c r="J33">
        <v>-1.5</v>
      </c>
      <c r="L33">
        <v>0.31</v>
      </c>
      <c r="M33">
        <v>5.5493308734256264</v>
      </c>
      <c r="N33">
        <v>-1.5</v>
      </c>
    </row>
    <row r="34" spans="1:14" x14ac:dyDescent="0.25">
      <c r="A34">
        <v>8250</v>
      </c>
      <c r="B34">
        <v>0.21466951960976446</v>
      </c>
      <c r="C34">
        <v>137.91174950429806</v>
      </c>
      <c r="D34">
        <v>0.55000000000000004</v>
      </c>
      <c r="E34">
        <v>294.34239945659863</v>
      </c>
      <c r="F34">
        <v>0.4581650346634476</v>
      </c>
      <c r="H34">
        <v>0.32</v>
      </c>
      <c r="I34">
        <v>6</v>
      </c>
      <c r="J34">
        <v>-1.5</v>
      </c>
      <c r="L34">
        <v>0.32</v>
      </c>
      <c r="M34">
        <v>5.9131267579478077</v>
      </c>
      <c r="N34">
        <v>-1.5</v>
      </c>
    </row>
    <row r="35" spans="1:14" x14ac:dyDescent="0.25">
      <c r="A35">
        <v>8500</v>
      </c>
      <c r="B35">
        <v>0.21571818362185338</v>
      </c>
      <c r="C35">
        <v>138.45763756676848</v>
      </c>
      <c r="D35">
        <v>0.55000000000000004</v>
      </c>
      <c r="E35">
        <v>295.50491561061546</v>
      </c>
      <c r="F35">
        <v>0.46039918611287062</v>
      </c>
      <c r="H35">
        <v>0.33</v>
      </c>
      <c r="I35">
        <v>6</v>
      </c>
      <c r="J35">
        <v>-1.5</v>
      </c>
      <c r="L35">
        <v>0.33</v>
      </c>
      <c r="M35">
        <v>6</v>
      </c>
      <c r="N35">
        <v>-1.5</v>
      </c>
    </row>
    <row r="36" spans="1:14" x14ac:dyDescent="0.25">
      <c r="A36">
        <v>8750</v>
      </c>
      <c r="B36">
        <v>0.21677897496513054</v>
      </c>
      <c r="C36">
        <v>139.01005964382736</v>
      </c>
      <c r="D36">
        <v>0.55000000000000004</v>
      </c>
      <c r="E36">
        <v>296.6766509770361</v>
      </c>
      <c r="F36">
        <v>0.46265184303692558</v>
      </c>
      <c r="H36">
        <v>0.34</v>
      </c>
      <c r="I36">
        <v>6</v>
      </c>
      <c r="J36">
        <v>-1.5</v>
      </c>
      <c r="L36">
        <v>0.34</v>
      </c>
      <c r="M36">
        <v>6</v>
      </c>
      <c r="N36">
        <v>-1.5</v>
      </c>
    </row>
    <row r="37" spans="1:14" x14ac:dyDescent="0.25">
      <c r="A37">
        <v>9000</v>
      </c>
      <c r="B37">
        <v>0.21785213238320925</v>
      </c>
      <c r="C37">
        <v>139.56914713262682</v>
      </c>
      <c r="D37">
        <v>0.55000000000000004</v>
      </c>
      <c r="E37">
        <v>297.85771566044218</v>
      </c>
      <c r="F37">
        <v>0.46492322863990604</v>
      </c>
      <c r="H37">
        <v>0.35</v>
      </c>
      <c r="I37">
        <v>6</v>
      </c>
      <c r="J37">
        <v>-1.5</v>
      </c>
      <c r="L37">
        <v>0.35</v>
      </c>
      <c r="M37">
        <v>6</v>
      </c>
      <c r="N37">
        <v>-1.5</v>
      </c>
    </row>
    <row r="38" spans="1:14" x14ac:dyDescent="0.25">
      <c r="A38">
        <v>9250</v>
      </c>
      <c r="B38">
        <v>0.21890058211410099</v>
      </c>
      <c r="C38">
        <v>140.11114834231734</v>
      </c>
      <c r="D38">
        <v>0.55000000000000004</v>
      </c>
      <c r="E38">
        <v>299.03102446878864</v>
      </c>
      <c r="F38">
        <v>0.46718670213499147</v>
      </c>
      <c r="H38">
        <v>0.36</v>
      </c>
      <c r="I38">
        <v>6</v>
      </c>
      <c r="J38">
        <v>-1.5</v>
      </c>
      <c r="L38">
        <v>0.36</v>
      </c>
      <c r="M38">
        <v>6</v>
      </c>
      <c r="N38">
        <v>-1.5</v>
      </c>
    </row>
    <row r="39" spans="1:14" x14ac:dyDescent="0.25">
      <c r="A39">
        <v>9500</v>
      </c>
      <c r="B39">
        <v>0.21996092638236936</v>
      </c>
      <c r="C39">
        <v>140.65951339836562</v>
      </c>
      <c r="D39">
        <v>0.55000000000000004</v>
      </c>
      <c r="E39">
        <v>300.21361353270595</v>
      </c>
      <c r="F39">
        <v>0.46946888233739553</v>
      </c>
      <c r="H39">
        <v>0.37</v>
      </c>
      <c r="I39">
        <v>6</v>
      </c>
      <c r="J39">
        <v>-1.5</v>
      </c>
      <c r="L39">
        <v>0.37</v>
      </c>
      <c r="M39">
        <v>6</v>
      </c>
      <c r="N39">
        <v>-1.5</v>
      </c>
    </row>
    <row r="40" spans="1:14" x14ac:dyDescent="0.25">
      <c r="A40">
        <v>9750</v>
      </c>
      <c r="B40">
        <v>0.22103339474405428</v>
      </c>
      <c r="C40">
        <v>141.21436781756825</v>
      </c>
      <c r="D40">
        <v>0.55000000000000004</v>
      </c>
      <c r="E40">
        <v>301.40559339226201</v>
      </c>
      <c r="F40">
        <v>0.47176999431391847</v>
      </c>
      <c r="H40">
        <v>0.38</v>
      </c>
      <c r="I40">
        <v>6</v>
      </c>
      <c r="J40">
        <v>-1.5</v>
      </c>
      <c r="L40">
        <v>0.38</v>
      </c>
      <c r="M40">
        <v>6</v>
      </c>
      <c r="N40">
        <v>-1.5</v>
      </c>
    </row>
    <row r="41" spans="1:14" x14ac:dyDescent="0.25">
      <c r="A41">
        <v>10000</v>
      </c>
      <c r="B41">
        <v>0.22211822308066881</v>
      </c>
      <c r="C41">
        <v>141.77584061016009</v>
      </c>
      <c r="D41">
        <v>0.55000000000000004</v>
      </c>
      <c r="E41">
        <v>302.60707635009311</v>
      </c>
      <c r="F41">
        <v>0.47409026672843557</v>
      </c>
      <c r="H41">
        <v>0.39</v>
      </c>
      <c r="I41">
        <v>6</v>
      </c>
      <c r="J41">
        <v>-1.5</v>
      </c>
      <c r="L41">
        <v>0.39</v>
      </c>
      <c r="M41">
        <v>6</v>
      </c>
      <c r="N41">
        <v>-1.5</v>
      </c>
    </row>
    <row r="42" spans="1:14" x14ac:dyDescent="0.25">
      <c r="A42">
        <v>10250</v>
      </c>
      <c r="B42">
        <v>0.22318099322723572</v>
      </c>
      <c r="C42">
        <v>142.3247511909405</v>
      </c>
      <c r="D42">
        <v>0.55000000000000004</v>
      </c>
      <c r="E42">
        <v>303.78267854534835</v>
      </c>
      <c r="F42">
        <v>0.47636492848684875</v>
      </c>
      <c r="H42">
        <v>0.4</v>
      </c>
      <c r="I42">
        <v>0</v>
      </c>
      <c r="J42">
        <v>0</v>
      </c>
      <c r="L42">
        <v>0.4</v>
      </c>
      <c r="M42">
        <v>6</v>
      </c>
      <c r="N42">
        <v>-1.5</v>
      </c>
    </row>
    <row r="43" spans="1:14" x14ac:dyDescent="0.25">
      <c r="A43">
        <v>10500</v>
      </c>
      <c r="B43">
        <v>0.22425578321394377</v>
      </c>
      <c r="C43">
        <v>142.88008715909999</v>
      </c>
      <c r="D43">
        <v>0.55000000000000004</v>
      </c>
      <c r="E43">
        <v>304.96745058940826</v>
      </c>
      <c r="F43">
        <v>0.47865812407108166</v>
      </c>
      <c r="H43">
        <v>0.41</v>
      </c>
      <c r="I43">
        <v>0</v>
      </c>
      <c r="J43">
        <v>0</v>
      </c>
      <c r="L43">
        <v>0.41</v>
      </c>
      <c r="M43">
        <v>6</v>
      </c>
      <c r="N43">
        <v>-1.5</v>
      </c>
    </row>
    <row r="44" spans="1:14" x14ac:dyDescent="0.25">
      <c r="A44">
        <v>10750</v>
      </c>
      <c r="B44">
        <v>0.22534282437687894</v>
      </c>
      <c r="C44">
        <v>143.44197485710228</v>
      </c>
      <c r="D44">
        <v>0.55000000000000004</v>
      </c>
      <c r="E44">
        <v>306.16150019135091</v>
      </c>
      <c r="F44">
        <v>0.48097007335064162</v>
      </c>
      <c r="H44">
        <v>0.42</v>
      </c>
      <c r="I44">
        <v>0</v>
      </c>
      <c r="J44">
        <v>0</v>
      </c>
      <c r="L44">
        <v>0.42</v>
      </c>
      <c r="M44">
        <v>6</v>
      </c>
      <c r="N44">
        <v>-1.5</v>
      </c>
    </row>
    <row r="45" spans="1:14" x14ac:dyDescent="0.25">
      <c r="A45">
        <v>11000</v>
      </c>
      <c r="B45">
        <v>0.22644235440818719</v>
      </c>
      <c r="C45">
        <v>144.01054413297481</v>
      </c>
      <c r="D45">
        <v>0.55000000000000004</v>
      </c>
      <c r="E45">
        <v>307.3649367537534</v>
      </c>
      <c r="F45">
        <v>0.48330099965997358</v>
      </c>
      <c r="H45">
        <v>0.43</v>
      </c>
      <c r="I45">
        <v>0</v>
      </c>
      <c r="J45">
        <v>0</v>
      </c>
      <c r="L45">
        <v>0.43</v>
      </c>
      <c r="M45">
        <v>6</v>
      </c>
      <c r="N45">
        <v>-1.5</v>
      </c>
    </row>
    <row r="46" spans="1:14" x14ac:dyDescent="0.25">
      <c r="A46">
        <v>11250</v>
      </c>
      <c r="B46">
        <v>0.22754655692949</v>
      </c>
      <c r="C46">
        <v>144.57682474268239</v>
      </c>
      <c r="D46">
        <v>0.55000000000000004</v>
      </c>
      <c r="E46">
        <v>308.57787140610628</v>
      </c>
      <c r="F46">
        <v>0.48566450610642775</v>
      </c>
      <c r="H46">
        <v>0.44</v>
      </c>
      <c r="I46">
        <v>0</v>
      </c>
      <c r="J46">
        <v>0</v>
      </c>
      <c r="L46">
        <v>0.44</v>
      </c>
      <c r="M46">
        <v>6</v>
      </c>
      <c r="N46">
        <v>-1.5</v>
      </c>
    </row>
    <row r="47" spans="1:14" x14ac:dyDescent="0.25">
      <c r="A47">
        <v>11500</v>
      </c>
      <c r="B47">
        <v>0.2286634453721211</v>
      </c>
      <c r="C47">
        <v>145.1498385360882</v>
      </c>
      <c r="D47">
        <v>0.55000000000000004</v>
      </c>
      <c r="E47">
        <v>309.80041703902293</v>
      </c>
      <c r="F47">
        <v>0.48804760275534304</v>
      </c>
      <c r="H47">
        <v>0.45</v>
      </c>
      <c r="I47">
        <v>0</v>
      </c>
      <c r="J47">
        <v>0</v>
      </c>
      <c r="L47">
        <v>0.45</v>
      </c>
      <c r="M47">
        <v>6</v>
      </c>
      <c r="N47">
        <v>-1.5</v>
      </c>
    </row>
    <row r="48" spans="1:14" x14ac:dyDescent="0.25">
      <c r="A48">
        <v>11750</v>
      </c>
      <c r="B48">
        <v>0.229793267675164</v>
      </c>
      <c r="C48">
        <v>145.72972001106632</v>
      </c>
      <c r="D48">
        <v>0.55000000000000004</v>
      </c>
      <c r="E48">
        <v>311.03268833926489</v>
      </c>
      <c r="F48">
        <v>0.4904505258216586</v>
      </c>
      <c r="H48">
        <v>0.46</v>
      </c>
      <c r="I48">
        <v>0</v>
      </c>
      <c r="J48">
        <v>0</v>
      </c>
      <c r="L48">
        <v>0.46</v>
      </c>
      <c r="M48">
        <v>6</v>
      </c>
      <c r="N48">
        <v>-1.5</v>
      </c>
    </row>
    <row r="49" spans="1:14" x14ac:dyDescent="0.25">
      <c r="A49">
        <v>12000</v>
      </c>
      <c r="B49">
        <v>0.23093627869740244</v>
      </c>
      <c r="C49">
        <v>146.31660745710025</v>
      </c>
      <c r="D49">
        <v>0.55000000000000004</v>
      </c>
      <c r="E49">
        <v>312.27480182560652</v>
      </c>
      <c r="F49">
        <v>0.49287351530289231</v>
      </c>
      <c r="H49">
        <v>0.47</v>
      </c>
      <c r="I49">
        <v>0</v>
      </c>
      <c r="J49">
        <v>0</v>
      </c>
      <c r="L49">
        <v>0.47</v>
      </c>
      <c r="M49">
        <v>6</v>
      </c>
      <c r="N49">
        <v>-1.5</v>
      </c>
    </row>
    <row r="50" spans="1:14" x14ac:dyDescent="0.25">
      <c r="A50">
        <v>12250</v>
      </c>
      <c r="B50">
        <v>0.23208957441912326</v>
      </c>
      <c r="C50">
        <v>146.90805881581664</v>
      </c>
      <c r="D50">
        <v>0.55000000000000004</v>
      </c>
      <c r="E50">
        <v>313.54578069884531</v>
      </c>
      <c r="F50">
        <v>0.49534863771184762</v>
      </c>
      <c r="H50">
        <v>0.48</v>
      </c>
      <c r="I50">
        <v>0</v>
      </c>
      <c r="J50">
        <v>0</v>
      </c>
      <c r="L50">
        <v>0.48</v>
      </c>
      <c r="M50">
        <v>0</v>
      </c>
      <c r="N50">
        <v>0</v>
      </c>
    </row>
    <row r="51" spans="1:14" x14ac:dyDescent="0.25">
      <c r="A51">
        <v>12500</v>
      </c>
      <c r="B51">
        <v>0.23325649304636595</v>
      </c>
      <c r="C51">
        <v>147.5067410726609</v>
      </c>
      <c r="D51">
        <v>0.55000000000000004</v>
      </c>
      <c r="E51">
        <v>314.82714778712841</v>
      </c>
      <c r="F51">
        <v>0.49784488406832667</v>
      </c>
    </row>
    <row r="52" spans="1:14" x14ac:dyDescent="0.25">
      <c r="A52">
        <v>12750</v>
      </c>
      <c r="B52">
        <v>0.23443730851973252</v>
      </c>
      <c r="C52">
        <v>148.1128027765966</v>
      </c>
      <c r="D52">
        <v>0.55000000000000004</v>
      </c>
      <c r="E52">
        <v>316.11903097358578</v>
      </c>
      <c r="F52">
        <v>0.50036251697360756</v>
      </c>
    </row>
    <row r="53" spans="1:14" x14ac:dyDescent="0.25">
      <c r="A53">
        <v>13000</v>
      </c>
      <c r="B53">
        <v>0.2356323026465191</v>
      </c>
      <c r="C53">
        <v>148.72639678442991</v>
      </c>
      <c r="D53">
        <v>0.55000000000000004</v>
      </c>
      <c r="E53">
        <v>317.42156024905381</v>
      </c>
      <c r="F53">
        <v>0.50290180336679524</v>
      </c>
    </row>
    <row r="54" spans="1:14" x14ac:dyDescent="0.25">
      <c r="A54">
        <v>13250</v>
      </c>
      <c r="B54">
        <v>0.23677008080381917</v>
      </c>
      <c r="C54">
        <v>149.30543717928234</v>
      </c>
      <c r="D54">
        <v>0.55000000000000004</v>
      </c>
      <c r="E54">
        <v>318.66650324794705</v>
      </c>
      <c r="F54">
        <v>0.5053445818780703</v>
      </c>
      <c r="H54">
        <v>0.39451580095149846</v>
      </c>
    </row>
    <row r="55" spans="1:14" x14ac:dyDescent="0.25">
      <c r="A55">
        <v>13500</v>
      </c>
      <c r="B55">
        <v>0.23792080038581537</v>
      </c>
      <c r="C55">
        <v>149.89129384706561</v>
      </c>
      <c r="D55">
        <v>0.55000000000000004</v>
      </c>
      <c r="E55">
        <v>319.92125015380827</v>
      </c>
      <c r="F55">
        <v>0.50780747796256898</v>
      </c>
    </row>
    <row r="56" spans="1:14" x14ac:dyDescent="0.25">
      <c r="A56">
        <v>13750</v>
      </c>
      <c r="B56">
        <v>0.23908471178107313</v>
      </c>
      <c r="C56">
        <v>150.4841015774636</v>
      </c>
      <c r="D56">
        <v>0.55000000000000004</v>
      </c>
      <c r="E56">
        <v>321.18591723285977</v>
      </c>
      <c r="F56">
        <v>0.51029073267403557</v>
      </c>
    </row>
    <row r="57" spans="1:14" x14ac:dyDescent="0.25">
      <c r="A57">
        <v>14000</v>
      </c>
      <c r="B57">
        <v>0.24026207229539931</v>
      </c>
      <c r="C57">
        <v>151.08399892151596</v>
      </c>
      <c r="D57">
        <v>0.55000000000000004</v>
      </c>
      <c r="E57">
        <v>322.46062259704826</v>
      </c>
      <c r="F57">
        <v>0.51279459090222834</v>
      </c>
    </row>
    <row r="58" spans="1:14" x14ac:dyDescent="0.25">
      <c r="A58">
        <v>14250</v>
      </c>
      <c r="B58">
        <v>0.24146186492995253</v>
      </c>
      <c r="C58">
        <v>151.69298375028174</v>
      </c>
      <c r="D58">
        <v>0.55000000000000004</v>
      </c>
      <c r="E58">
        <v>323.76564348421641</v>
      </c>
      <c r="F58">
        <v>0.51536369147198491</v>
      </c>
    </row>
    <row r="59" spans="1:14" x14ac:dyDescent="0.25">
      <c r="A59">
        <v>14500</v>
      </c>
      <c r="B59">
        <v>0.24267578965220216</v>
      </c>
      <c r="C59">
        <v>152.30939248046337</v>
      </c>
      <c r="D59">
        <v>0.55000000000000004</v>
      </c>
      <c r="E59">
        <v>325.08127031757937</v>
      </c>
      <c r="F59">
        <v>0.51795462309114415</v>
      </c>
    </row>
    <row r="60" spans="1:14" x14ac:dyDescent="0.25">
      <c r="A60">
        <v>14750</v>
      </c>
      <c r="B60">
        <v>0.2439041297321361</v>
      </c>
      <c r="C60">
        <v>152.93337718496832</v>
      </c>
      <c r="D60">
        <v>0.55000000000000004</v>
      </c>
      <c r="E60">
        <v>326.40763291695436</v>
      </c>
      <c r="F60">
        <v>0.52056765573317443</v>
      </c>
    </row>
    <row r="61" spans="1:14" x14ac:dyDescent="0.25">
      <c r="A61">
        <v>15000</v>
      </c>
      <c r="B61">
        <v>0.24514717654908955</v>
      </c>
      <c r="C61">
        <v>153.56509433388067</v>
      </c>
      <c r="D61">
        <v>0.55000000000000004</v>
      </c>
      <c r="E61">
        <v>327.74486322954743</v>
      </c>
      <c r="F61">
        <v>0.52320306380630799</v>
      </c>
    </row>
    <row r="62" spans="1:14" x14ac:dyDescent="0.25">
      <c r="A62">
        <v>15250</v>
      </c>
      <c r="B62">
        <v>0.24639515632024062</v>
      </c>
      <c r="C62">
        <v>154.19716876466057</v>
      </c>
      <c r="D62">
        <v>0.55000000000000004</v>
      </c>
      <c r="E62">
        <v>329.1035093826145</v>
      </c>
      <c r="F62">
        <v>0.52588196845319402</v>
      </c>
    </row>
    <row r="63" spans="1:14" x14ac:dyDescent="0.25">
      <c r="A63">
        <v>15500</v>
      </c>
      <c r="B63">
        <v>0.24765814870685632</v>
      </c>
      <c r="C63">
        <v>154.83711286227009</v>
      </c>
      <c r="D63">
        <v>0.55000000000000004</v>
      </c>
      <c r="E63">
        <v>330.47346679377188</v>
      </c>
      <c r="F63">
        <v>0.52858417126186119</v>
      </c>
    </row>
    <row r="64" spans="1:14" x14ac:dyDescent="0.25">
      <c r="A64">
        <v>15750</v>
      </c>
      <c r="B64">
        <v>0.24893646115562584</v>
      </c>
      <c r="C64">
        <v>155.48509129665101</v>
      </c>
      <c r="D64">
        <v>0.55000000000000004</v>
      </c>
      <c r="E64">
        <v>331.85487730942276</v>
      </c>
      <c r="F64">
        <v>0.53130996731402669</v>
      </c>
    </row>
    <row r="65" spans="1:6" x14ac:dyDescent="0.25">
      <c r="A65">
        <v>16000</v>
      </c>
      <c r="B65">
        <v>0.25023041010656999</v>
      </c>
      <c r="C65">
        <v>156.1412736023986</v>
      </c>
      <c r="D65">
        <v>0.55000000000000004</v>
      </c>
      <c r="E65">
        <v>333.24788515765187</v>
      </c>
      <c r="F65">
        <v>0.53405965665740129</v>
      </c>
    </row>
    <row r="66" spans="1:6" x14ac:dyDescent="0.25">
      <c r="A66">
        <v>16250</v>
      </c>
      <c r="B66">
        <v>0.25146394420525725</v>
      </c>
      <c r="C66">
        <v>156.76199415769688</v>
      </c>
      <c r="D66">
        <v>0.55000000000000004</v>
      </c>
      <c r="E66">
        <v>334.58803847762442</v>
      </c>
      <c r="F66">
        <v>0.53671700396235855</v>
      </c>
    </row>
    <row r="67" spans="1:6" x14ac:dyDescent="0.25">
      <c r="A67">
        <v>16500</v>
      </c>
      <c r="B67">
        <v>0.25271180683951006</v>
      </c>
      <c r="C67">
        <v>157.39017685868109</v>
      </c>
      <c r="D67">
        <v>0.55000000000000004</v>
      </c>
      <c r="E67">
        <v>335.93901414820078</v>
      </c>
      <c r="F67">
        <v>0.53939678414303149</v>
      </c>
    </row>
    <row r="68" spans="1:6" x14ac:dyDescent="0.25">
      <c r="A68">
        <v>16750</v>
      </c>
      <c r="B68">
        <v>0.253974281177412</v>
      </c>
      <c r="C68">
        <v>158.02597242710047</v>
      </c>
      <c r="D68">
        <v>0.55000000000000004</v>
      </c>
      <c r="E68">
        <v>337.3009437939869</v>
      </c>
      <c r="F68">
        <v>0.54209927282718828</v>
      </c>
    </row>
    <row r="69" spans="1:6" x14ac:dyDescent="0.25">
      <c r="A69">
        <v>17000</v>
      </c>
      <c r="B69">
        <v>0.25525165837884456</v>
      </c>
      <c r="C69">
        <v>158.66953588145736</v>
      </c>
      <c r="D69">
        <v>0.55000000000000004</v>
      </c>
      <c r="E69">
        <v>338.67396118275366</v>
      </c>
      <c r="F69">
        <v>0.54482475014116927</v>
      </c>
    </row>
    <row r="70" spans="1:6" x14ac:dyDescent="0.25">
      <c r="A70">
        <v>17250</v>
      </c>
      <c r="B70">
        <v>0.25658019736186988</v>
      </c>
      <c r="C70">
        <v>159.3382269132014</v>
      </c>
      <c r="D70">
        <v>0.55000000000000004</v>
      </c>
      <c r="E70">
        <v>340.10268484907942</v>
      </c>
      <c r="F70">
        <v>0.54766276550457038</v>
      </c>
    </row>
    <row r="71" spans="1:6" x14ac:dyDescent="0.25">
      <c r="A71">
        <v>17500</v>
      </c>
      <c r="B71">
        <v>0.25792510280684966</v>
      </c>
      <c r="C71">
        <v>160.0154441558555</v>
      </c>
      <c r="D71">
        <v>0.55000000000000004</v>
      </c>
      <c r="E71">
        <v>341.54351395730708</v>
      </c>
      <c r="F71">
        <v>0.55000000000000004</v>
      </c>
    </row>
    <row r="72" spans="1:6" x14ac:dyDescent="0.25">
      <c r="A72">
        <v>17750</v>
      </c>
      <c r="B72">
        <v>0.25928671808878595</v>
      </c>
      <c r="C72">
        <v>160.70137035386298</v>
      </c>
      <c r="D72">
        <v>0.55000000000000004</v>
      </c>
      <c r="E72">
        <v>342.99660301441241</v>
      </c>
      <c r="F72">
        <v>0.55000000000000004</v>
      </c>
    </row>
    <row r="73" spans="1:6" x14ac:dyDescent="0.25">
      <c r="A73">
        <v>18000</v>
      </c>
      <c r="B73">
        <v>0.26066539687425744</v>
      </c>
      <c r="C73">
        <v>161.39619378263396</v>
      </c>
      <c r="D73">
        <v>0.55000000000000004</v>
      </c>
      <c r="E73">
        <v>344.46210916799151</v>
      </c>
      <c r="F73">
        <v>0.55000000000000004</v>
      </c>
    </row>
    <row r="74" spans="1:6" x14ac:dyDescent="0.25">
      <c r="A74">
        <v>18250</v>
      </c>
      <c r="B74">
        <v>0.26200791814379742</v>
      </c>
      <c r="C74">
        <v>162.0663078074366</v>
      </c>
      <c r="D74">
        <v>0.55000000000000004</v>
      </c>
      <c r="E74">
        <v>345.90567418346302</v>
      </c>
      <c r="F74">
        <v>0.55000000000000004</v>
      </c>
    </row>
    <row r="75" spans="1:6" x14ac:dyDescent="0.25">
      <c r="A75">
        <v>18500</v>
      </c>
      <c r="B75">
        <v>0.26336673245439562</v>
      </c>
      <c r="C75">
        <v>162.74483865286925</v>
      </c>
      <c r="D75">
        <v>0.55000000000000004</v>
      </c>
      <c r="E75">
        <v>347.36138944555773</v>
      </c>
      <c r="F75">
        <v>0.55000000000000004</v>
      </c>
    </row>
    <row r="76" spans="1:6" x14ac:dyDescent="0.25">
      <c r="A76">
        <v>18750</v>
      </c>
      <c r="B76">
        <v>0.26474217633071234</v>
      </c>
      <c r="C76">
        <v>163.43196400335702</v>
      </c>
      <c r="D76">
        <v>0.55000000000000004</v>
      </c>
      <c r="E76">
        <v>348.82940900248207</v>
      </c>
      <c r="F76">
        <v>0.55000000000000004</v>
      </c>
    </row>
    <row r="77" spans="1:6" x14ac:dyDescent="0.25">
      <c r="A77">
        <v>19000</v>
      </c>
      <c r="B77">
        <v>0.26613459622757307</v>
      </c>
      <c r="C77">
        <v>164.12786683950659</v>
      </c>
      <c r="D77">
        <v>0.55000000000000004</v>
      </c>
      <c r="E77">
        <v>350.30988951765022</v>
      </c>
      <c r="F77">
        <v>0.55000000000000004</v>
      </c>
    </row>
    <row r="78" spans="1:6" x14ac:dyDescent="0.25">
      <c r="A78">
        <v>19250</v>
      </c>
      <c r="B78">
        <v>0.26749276769103969</v>
      </c>
      <c r="C78">
        <v>164.80496910212648</v>
      </c>
      <c r="D78">
        <v>0.55000000000000004</v>
      </c>
      <c r="E78">
        <v>351.75539471014002</v>
      </c>
      <c r="F78">
        <v>0.55000000000000004</v>
      </c>
    </row>
    <row r="79" spans="1:6" x14ac:dyDescent="0.25">
      <c r="A79">
        <v>19500</v>
      </c>
      <c r="B79">
        <v>0.26886731519218582</v>
      </c>
      <c r="C79">
        <v>165.49052117394228</v>
      </c>
      <c r="D79">
        <v>0.55000000000000004</v>
      </c>
      <c r="E79">
        <v>353.21287868496131</v>
      </c>
      <c r="F79">
        <v>0.55000000000000004</v>
      </c>
    </row>
    <row r="80" spans="1:6" x14ac:dyDescent="0.25">
      <c r="A80">
        <v>19750</v>
      </c>
      <c r="B80">
        <v>0.27025857487604976</v>
      </c>
      <c r="C80">
        <v>166.18470027703174</v>
      </c>
      <c r="D80">
        <v>0.55000000000000004</v>
      </c>
      <c r="E80">
        <v>354.68249096241732</v>
      </c>
      <c r="F80">
        <v>0.55000000000000004</v>
      </c>
    </row>
    <row r="81" spans="1:6" x14ac:dyDescent="0.25">
      <c r="A81">
        <v>20000</v>
      </c>
      <c r="B81">
        <v>0.27166689274351447</v>
      </c>
      <c r="C81">
        <v>166.88768888126836</v>
      </c>
      <c r="D81">
        <v>0.55000000000000004</v>
      </c>
      <c r="E81">
        <v>356.16438356164383</v>
      </c>
      <c r="F81">
        <v>0.55000000000000004</v>
      </c>
    </row>
    <row r="82" spans="1:6" x14ac:dyDescent="0.25">
      <c r="A82">
        <v>20250</v>
      </c>
      <c r="B82">
        <v>0.27308818001570206</v>
      </c>
      <c r="C82">
        <v>167.59216791428622</v>
      </c>
      <c r="D82">
        <v>0.55000000000000004</v>
      </c>
      <c r="E82">
        <v>357.68331269775763</v>
      </c>
      <c r="F82">
        <v>0.55000000000000004</v>
      </c>
    </row>
    <row r="83" spans="1:6" x14ac:dyDescent="0.25">
      <c r="A83">
        <v>20500</v>
      </c>
      <c r="B83">
        <v>0.27452700621777348</v>
      </c>
      <c r="C83">
        <v>168.30564433696151</v>
      </c>
      <c r="D83">
        <v>0.55000000000000004</v>
      </c>
      <c r="E83">
        <v>359.21525283227413</v>
      </c>
      <c r="F83">
        <v>0.55000000000000004</v>
      </c>
    </row>
    <row r="84" spans="1:6" x14ac:dyDescent="0.25">
      <c r="A84">
        <v>20750</v>
      </c>
      <c r="B84">
        <v>0.27598373979321772</v>
      </c>
      <c r="C84">
        <v>169.02831131440465</v>
      </c>
      <c r="D84">
        <v>0.55000000000000004</v>
      </c>
      <c r="E84">
        <v>360.76037186069101</v>
      </c>
      <c r="F84">
        <v>0.55000000000000004</v>
      </c>
    </row>
    <row r="85" spans="1:6" x14ac:dyDescent="0.25">
      <c r="A85">
        <v>21000</v>
      </c>
      <c r="B85">
        <v>0.27745876024438726</v>
      </c>
      <c r="C85">
        <v>169.76036786792591</v>
      </c>
      <c r="D85">
        <v>0.55000000000000004</v>
      </c>
      <c r="E85">
        <v>362.31884057971013</v>
      </c>
      <c r="F85">
        <v>0.55000000000000004</v>
      </c>
    </row>
    <row r="86" spans="1:6" x14ac:dyDescent="0.25">
      <c r="A86">
        <v>21250</v>
      </c>
      <c r="B86">
        <v>0.27892658157357841</v>
      </c>
      <c r="C86">
        <v>170.48480787294866</v>
      </c>
      <c r="D86">
        <v>0.55000000000000004</v>
      </c>
      <c r="E86">
        <v>363.8781008362198</v>
      </c>
      <c r="F86">
        <v>0.55000000000000004</v>
      </c>
    </row>
    <row r="87" spans="1:6" x14ac:dyDescent="0.25">
      <c r="A87">
        <v>21500</v>
      </c>
      <c r="B87">
        <v>0.28041271584192584</v>
      </c>
      <c r="C87">
        <v>171.21860222950073</v>
      </c>
      <c r="D87">
        <v>0.55000000000000004</v>
      </c>
      <c r="E87">
        <v>365.4508398341415</v>
      </c>
      <c r="F87">
        <v>0.55000000000000004</v>
      </c>
    </row>
    <row r="88" spans="1:6" x14ac:dyDescent="0.25">
      <c r="A88">
        <v>21750</v>
      </c>
      <c r="B88">
        <v>0.2819175520209814</v>
      </c>
      <c r="C88">
        <v>171.96195400011811</v>
      </c>
      <c r="D88">
        <v>0.55000000000000004</v>
      </c>
      <c r="E88">
        <v>367.03723310393508</v>
      </c>
      <c r="F88">
        <v>0.55000000000000004</v>
      </c>
    </row>
    <row r="89" spans="1:6" x14ac:dyDescent="0.25">
      <c r="A89">
        <v>22000</v>
      </c>
      <c r="B89">
        <v>0.28344149088811599</v>
      </c>
      <c r="C89">
        <v>172.71507247267348</v>
      </c>
      <c r="D89">
        <v>0.55000000000000004</v>
      </c>
      <c r="E89">
        <v>368.63745923720398</v>
      </c>
      <c r="F89">
        <v>0.55000000000000004</v>
      </c>
    </row>
    <row r="90" spans="1:6" x14ac:dyDescent="0.25">
      <c r="A90">
        <v>22250</v>
      </c>
      <c r="B90">
        <v>0.28492991544556934</v>
      </c>
      <c r="C90">
        <v>173.44894905312449</v>
      </c>
      <c r="D90">
        <v>0.55000000000000004</v>
      </c>
      <c r="E90">
        <v>370.21216004556453</v>
      </c>
      <c r="F90">
        <v>0.55000000000000004</v>
      </c>
    </row>
    <row r="91" spans="1:6" x14ac:dyDescent="0.25">
      <c r="A91">
        <v>22500</v>
      </c>
      <c r="B91">
        <v>0.28643682849658975</v>
      </c>
      <c r="C91">
        <v>174.19226069777361</v>
      </c>
      <c r="D91">
        <v>0.55000000000000004</v>
      </c>
      <c r="E91">
        <v>371.80037180037181</v>
      </c>
      <c r="F91">
        <v>0.55000000000000004</v>
      </c>
    </row>
    <row r="92" spans="1:6" x14ac:dyDescent="0.25">
      <c r="A92">
        <v>22750</v>
      </c>
      <c r="B92">
        <v>0.2879626211561363</v>
      </c>
      <c r="C92">
        <v>174.94521132443458</v>
      </c>
      <c r="D92">
        <v>0.55000000000000004</v>
      </c>
      <c r="E92">
        <v>373.40226913686627</v>
      </c>
      <c r="F92">
        <v>0.55000000000000004</v>
      </c>
    </row>
    <row r="93" spans="1:6" x14ac:dyDescent="0.25">
      <c r="A93">
        <v>23000</v>
      </c>
      <c r="B93">
        <v>0.28950769636009005</v>
      </c>
      <c r="C93">
        <v>175.70801107486585</v>
      </c>
      <c r="D93">
        <v>0.55000000000000004</v>
      </c>
      <c r="E93">
        <v>375.01802971296695</v>
      </c>
      <c r="F93">
        <v>0.55000000000000004</v>
      </c>
    </row>
    <row r="94" spans="1:6" x14ac:dyDescent="0.25">
      <c r="A94">
        <v>23250</v>
      </c>
      <c r="B94">
        <v>0.29105613605558633</v>
      </c>
      <c r="C94">
        <v>176.46588000982172</v>
      </c>
      <c r="D94">
        <v>0.55000000000000004</v>
      </c>
      <c r="E94">
        <v>376.64783427495291</v>
      </c>
      <c r="F94">
        <v>0.55000000000000004</v>
      </c>
    </row>
    <row r="95" spans="1:6" x14ac:dyDescent="0.25">
      <c r="A95">
        <v>23500</v>
      </c>
      <c r="B95">
        <v>0.29262410371261632</v>
      </c>
      <c r="C95">
        <v>177.23364089562031</v>
      </c>
      <c r="D95">
        <v>0.55000000000000004</v>
      </c>
      <c r="E95">
        <v>378.29186672486543</v>
      </c>
      <c r="F95">
        <v>0.55000000000000004</v>
      </c>
    </row>
    <row r="96" spans="1:6" x14ac:dyDescent="0.25">
      <c r="A96">
        <v>23750</v>
      </c>
      <c r="B96">
        <v>0.29421201862689678</v>
      </c>
      <c r="C96">
        <v>178.01151081011074</v>
      </c>
      <c r="D96">
        <v>0.55000000000000004</v>
      </c>
      <c r="E96">
        <v>379.9503141896829</v>
      </c>
      <c r="F96">
        <v>0.55000000000000004</v>
      </c>
    </row>
    <row r="97" spans="1:6" x14ac:dyDescent="0.25">
      <c r="A97">
        <v>24000</v>
      </c>
      <c r="B97">
        <v>0.29582031296031996</v>
      </c>
      <c r="C97">
        <v>178.79971355947657</v>
      </c>
      <c r="D97">
        <v>0.55000000000000004</v>
      </c>
      <c r="E97">
        <v>381.62336709232346</v>
      </c>
      <c r="F97">
        <v>0.55000000000000004</v>
      </c>
    </row>
    <row r="98" spans="1:6" x14ac:dyDescent="0.25">
      <c r="A98">
        <v>24250</v>
      </c>
      <c r="B98">
        <v>0.29739636625613597</v>
      </c>
      <c r="C98">
        <v>179.5701564182018</v>
      </c>
      <c r="D98">
        <v>0.55000000000000004</v>
      </c>
      <c r="E98">
        <v>383.26884098028381</v>
      </c>
      <c r="F98">
        <v>0.55000000000000004</v>
      </c>
    </row>
    <row r="99" spans="1:6" x14ac:dyDescent="0.25">
      <c r="A99">
        <v>24500</v>
      </c>
      <c r="B99">
        <v>0.29899227502456521</v>
      </c>
      <c r="C99">
        <v>180.3506453334426</v>
      </c>
      <c r="D99">
        <v>0.55000000000000004</v>
      </c>
      <c r="E99">
        <v>384.92856614109115</v>
      </c>
      <c r="F99">
        <v>0.55000000000000004</v>
      </c>
    </row>
    <row r="100" spans="1:6" x14ac:dyDescent="0.25">
      <c r="A100">
        <v>24750</v>
      </c>
      <c r="B100">
        <v>0.30060846530298158</v>
      </c>
      <c r="C100">
        <v>181.14140054343389</v>
      </c>
      <c r="D100">
        <v>0.55000000000000004</v>
      </c>
      <c r="E100">
        <v>386.60272852310322</v>
      </c>
      <c r="F100">
        <v>0.55000000000000004</v>
      </c>
    </row>
    <row r="101" spans="1:6" x14ac:dyDescent="0.25">
      <c r="A101">
        <v>25000</v>
      </c>
      <c r="B101">
        <v>0.30224537619114528</v>
      </c>
      <c r="C101">
        <v>181.94264910578372</v>
      </c>
      <c r="D101">
        <v>0.55000000000000004</v>
      </c>
      <c r="E101">
        <v>388.29151732377539</v>
      </c>
      <c r="F101">
        <v>0.55000000000000004</v>
      </c>
    </row>
    <row r="102" spans="1:6" x14ac:dyDescent="0.25">
      <c r="A102">
        <v>25250</v>
      </c>
      <c r="B102">
        <v>0.30389594380543483</v>
      </c>
      <c r="C102">
        <v>182.74402710810071</v>
      </c>
      <c r="D102">
        <v>0.55000000000000004</v>
      </c>
      <c r="E102">
        <v>390.02437652353268</v>
      </c>
      <c r="F102">
        <v>0.55000000000000004</v>
      </c>
    </row>
    <row r="103" spans="1:6" x14ac:dyDescent="0.25">
      <c r="A103">
        <v>25500</v>
      </c>
      <c r="B103">
        <v>0.30556777189710588</v>
      </c>
      <c r="C103">
        <v>183.55608841745101</v>
      </c>
      <c r="D103">
        <v>0.55000000000000004</v>
      </c>
      <c r="E103">
        <v>391.77277179236046</v>
      </c>
      <c r="F103">
        <v>0.55000000000000004</v>
      </c>
    </row>
    <row r="104" spans="1:6" x14ac:dyDescent="0.25">
      <c r="A104">
        <v>25750</v>
      </c>
      <c r="B104">
        <v>0.30726132680879492</v>
      </c>
      <c r="C104">
        <v>184.3790725314706</v>
      </c>
      <c r="D104">
        <v>0.55000000000000004</v>
      </c>
      <c r="E104">
        <v>393.53691300563821</v>
      </c>
      <c r="F104">
        <v>0.55000000000000004</v>
      </c>
    </row>
    <row r="105" spans="1:6" x14ac:dyDescent="0.25">
      <c r="A105">
        <v>26000</v>
      </c>
      <c r="B105">
        <v>0.30897708950435793</v>
      </c>
      <c r="C105">
        <v>185.21322653249234</v>
      </c>
      <c r="D105">
        <v>0.55000000000000004</v>
      </c>
      <c r="E105">
        <v>395.3170138360955</v>
      </c>
      <c r="F105">
        <v>0.55000000000000004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458A-D20B-4CB7-B9DD-7F5F924E9496}">
  <dimension ref="A1:I56"/>
  <sheetViews>
    <sheetView topLeftCell="A5" workbookViewId="0">
      <selection activeCell="D8" sqref="D8"/>
    </sheetView>
  </sheetViews>
  <sheetFormatPr defaultRowHeight="15" x14ac:dyDescent="0.25"/>
  <cols>
    <col min="1" max="1" width="8.140625" bestFit="1" customWidth="1"/>
    <col min="2" max="3" width="12" bestFit="1" customWidth="1"/>
    <col min="4" max="4" width="17.5703125" bestFit="1" customWidth="1"/>
    <col min="5" max="6" width="12" bestFit="1" customWidth="1"/>
    <col min="7" max="7" width="12.5703125" bestFit="1" customWidth="1"/>
    <col min="8" max="8" width="12.28515625" bestFit="1" customWidth="1"/>
    <col min="9" max="9" width="12" bestFit="1" customWidth="1"/>
  </cols>
  <sheetData>
    <row r="1" spans="1:9" x14ac:dyDescent="0.25">
      <c r="A1" t="s">
        <v>69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</row>
    <row r="2" spans="1:9" x14ac:dyDescent="0.25">
      <c r="A2">
        <v>0.01</v>
      </c>
      <c r="B2">
        <v>160.72906623687817</v>
      </c>
      <c r="C2">
        <v>1601.7176294694839</v>
      </c>
      <c r="D2">
        <v>8968.793885718369</v>
      </c>
      <c r="E2">
        <v>0.10034794103509641</v>
      </c>
      <c r="F2">
        <v>11659.43205143388</v>
      </c>
      <c r="G2">
        <v>4.0873858949392029E-2</v>
      </c>
      <c r="H2">
        <v>7.9151883739938221E-3</v>
      </c>
      <c r="I2">
        <v>0.40092659172776479</v>
      </c>
    </row>
    <row r="3" spans="1:9" x14ac:dyDescent="0.25">
      <c r="A3">
        <v>0.02</v>
      </c>
      <c r="B3">
        <v>40.182266559219542</v>
      </c>
      <c r="C3">
        <v>100.12610184184274</v>
      </c>
      <c r="D3">
        <v>2242.6184328067116</v>
      </c>
      <c r="E3">
        <v>0.40131659797053393</v>
      </c>
      <c r="F3">
        <v>2915.4039626487252</v>
      </c>
      <c r="G3">
        <v>0.16346481901168697</v>
      </c>
      <c r="H3">
        <v>6.3309649162331144E-2</v>
      </c>
      <c r="I3">
        <v>3.2068121013431456</v>
      </c>
    </row>
    <row r="4" spans="1:9" x14ac:dyDescent="0.25">
      <c r="A4">
        <v>0.03</v>
      </c>
      <c r="B4">
        <v>17.858785137430907</v>
      </c>
      <c r="C4">
        <v>19.79404480826523</v>
      </c>
      <c r="D4">
        <v>997.52811797373181</v>
      </c>
      <c r="E4">
        <v>0.90223020663132814</v>
      </c>
      <c r="F4">
        <v>1296.7865533658514</v>
      </c>
      <c r="G4">
        <v>0.36749762700992428</v>
      </c>
      <c r="H4">
        <v>0.21349681822659444</v>
      </c>
      <c r="I4">
        <v>10.814215358101528</v>
      </c>
    </row>
    <row r="5" spans="1:9" x14ac:dyDescent="0.25">
      <c r="A5">
        <v>0.04</v>
      </c>
      <c r="B5">
        <v>10.045566639804886</v>
      </c>
      <c r="C5">
        <v>6.2766313651151711</v>
      </c>
      <c r="D5">
        <v>562.33445371015671</v>
      </c>
      <c r="E5">
        <v>1.6004710258494776</v>
      </c>
      <c r="F5">
        <v>731.03478982320371</v>
      </c>
      <c r="G5">
        <v>0.65190602107402229</v>
      </c>
      <c r="H5">
        <v>0.50496420857452951</v>
      </c>
      <c r="I5">
        <v>25.577859871721643</v>
      </c>
    </row>
    <row r="6" spans="1:9" x14ac:dyDescent="0.25">
      <c r="A6">
        <v>0.05</v>
      </c>
      <c r="B6">
        <v>6.4291626494751259</v>
      </c>
      <c r="C6">
        <v>2.5827162071511731</v>
      </c>
      <c r="D6">
        <v>361.54701835484326</v>
      </c>
      <c r="E6">
        <v>2.4893027858320984</v>
      </c>
      <c r="F6">
        <v>470.01112386129626</v>
      </c>
      <c r="G6">
        <v>1.0139461746887657</v>
      </c>
      <c r="H6">
        <v>0.98174911545407217</v>
      </c>
      <c r="I6">
        <v>49.728358719041175</v>
      </c>
    </row>
    <row r="7" spans="1:9" x14ac:dyDescent="0.25">
      <c r="A7">
        <v>0.06</v>
      </c>
      <c r="B7">
        <v>4.4646962843577267</v>
      </c>
      <c r="C7">
        <v>1.2558778005165769</v>
      </c>
      <c r="D7">
        <v>253.1616818875101</v>
      </c>
      <c r="E7">
        <v>3.5550403729736084</v>
      </c>
      <c r="F7">
        <v>329.11018645376316</v>
      </c>
      <c r="G7">
        <v>1.4480438488867069</v>
      </c>
      <c r="H7">
        <v>1.6824748334037802</v>
      </c>
      <c r="I7">
        <v>85.222090587334264</v>
      </c>
    </row>
    <row r="8" spans="1:9" x14ac:dyDescent="0.25">
      <c r="A8">
        <v>7.0000000000000007E-2</v>
      </c>
      <c r="B8">
        <v>3.2801850252424112</v>
      </c>
      <c r="C8">
        <v>0.68709605558912268</v>
      </c>
      <c r="D8">
        <v>188.52181973622376</v>
      </c>
      <c r="E8">
        <v>4.7739831986518233</v>
      </c>
      <c r="F8">
        <v>245.0783656570909</v>
      </c>
      <c r="G8">
        <v>1.9445452878820448</v>
      </c>
      <c r="H8">
        <v>2.6359169052483504</v>
      </c>
      <c r="I8">
        <v>133.51661779409767</v>
      </c>
    </row>
    <row r="9" spans="1:9" x14ac:dyDescent="0.25">
      <c r="A9">
        <v>0.08</v>
      </c>
      <c r="B9">
        <v>2.5113916599512214</v>
      </c>
      <c r="C9">
        <v>0.41103946031969824</v>
      </c>
      <c r="D9">
        <v>147.30299546145409</v>
      </c>
      <c r="E9">
        <v>6.1098553846823158</v>
      </c>
      <c r="F9">
        <v>191.49389409989033</v>
      </c>
      <c r="G9">
        <v>2.4886745519506457</v>
      </c>
      <c r="H9">
        <v>3.8554378542321674</v>
      </c>
      <c r="I9">
        <v>195.28878978979512</v>
      </c>
    </row>
    <row r="10" spans="1:9" x14ac:dyDescent="0.25">
      <c r="A10">
        <v>0.09</v>
      </c>
      <c r="B10">
        <v>1.9843094597145456</v>
      </c>
      <c r="C10">
        <v>0.26412400997858321</v>
      </c>
      <c r="D10">
        <v>119.79563359785679</v>
      </c>
      <c r="E10">
        <v>7.5127946901739282</v>
      </c>
      <c r="F10">
        <v>155.73432367721384</v>
      </c>
      <c r="G10">
        <v>3.0601216857504951</v>
      </c>
      <c r="H10">
        <v>5.3333098932605374</v>
      </c>
      <c r="I10">
        <v>270.14717238548758</v>
      </c>
    </row>
    <row r="11" spans="1:9" x14ac:dyDescent="0.25">
      <c r="A11">
        <v>0.1</v>
      </c>
      <c r="B11">
        <v>1.6072906623687815</v>
      </c>
      <c r="C11">
        <v>0.18016976294694831</v>
      </c>
      <c r="D11">
        <v>100.88578901670286</v>
      </c>
      <c r="E11">
        <v>8.9209789482936408</v>
      </c>
      <c r="F11">
        <v>131.15152572171371</v>
      </c>
      <c r="G11">
        <v>3.6337052007426833</v>
      </c>
      <c r="H11">
        <v>7.0366395292038311</v>
      </c>
      <c r="I11">
        <v>356.42561747864693</v>
      </c>
    </row>
    <row r="12" spans="1:9" x14ac:dyDescent="0.25">
      <c r="A12">
        <v>0.11</v>
      </c>
      <c r="B12">
        <v>1.3283393903874228</v>
      </c>
      <c r="C12">
        <v>0.12939810323539946</v>
      </c>
      <c r="D12">
        <v>87.672091752013287</v>
      </c>
      <c r="E12">
        <v>10.265524433313553</v>
      </c>
      <c r="F12">
        <v>113.97371927761728</v>
      </c>
      <c r="G12">
        <v>4.1813672846764716</v>
      </c>
      <c r="H12">
        <v>8.9069007983934849</v>
      </c>
      <c r="I12">
        <v>451.15962011594621</v>
      </c>
    </row>
    <row r="13" spans="1:9" x14ac:dyDescent="0.25">
      <c r="A13">
        <v>0.12</v>
      </c>
      <c r="B13">
        <v>1.1161740710894317</v>
      </c>
      <c r="C13">
        <v>9.7242362532286061E-2</v>
      </c>
      <c r="D13">
        <v>78.409030048186096</v>
      </c>
      <c r="E13">
        <v>11.478269778964323</v>
      </c>
      <c r="F13">
        <v>101.93173906264192</v>
      </c>
      <c r="G13">
        <v>4.675344357731956</v>
      </c>
      <c r="H13">
        <v>10.864517984628812</v>
      </c>
      <c r="I13">
        <v>550.31844607184746</v>
      </c>
    </row>
    <row r="14" spans="1:9" x14ac:dyDescent="0.25">
      <c r="A14">
        <v>0.13</v>
      </c>
      <c r="B14">
        <v>0.9510595635318233</v>
      </c>
      <c r="C14">
        <v>7.6079886189891227E-2</v>
      </c>
      <c r="D14">
        <v>71.995383040602775</v>
      </c>
      <c r="E14">
        <v>12.500801606853495</v>
      </c>
      <c r="F14">
        <v>93.59399795278361</v>
      </c>
      <c r="G14">
        <v>5.0918434036843623</v>
      </c>
      <c r="H14">
        <v>12.818405448142988</v>
      </c>
      <c r="I14">
        <v>649.28835106364477</v>
      </c>
    </row>
    <row r="15" spans="1:9" x14ac:dyDescent="0.25">
      <c r="A15">
        <v>0.14000000000000001</v>
      </c>
      <c r="B15">
        <v>0.82004625631060279</v>
      </c>
      <c r="C15">
        <v>6.1693503474320163E-2</v>
      </c>
      <c r="D15">
        <v>67.708562412920372</v>
      </c>
      <c r="E15">
        <v>13.29226272020596</v>
      </c>
      <c r="F15">
        <v>88.021131136796484</v>
      </c>
      <c r="G15">
        <v>5.4142224139301538</v>
      </c>
      <c r="H15">
        <v>14.678434571402713</v>
      </c>
      <c r="I15">
        <v>743.5040666811143</v>
      </c>
    </row>
    <row r="16" spans="1:9" x14ac:dyDescent="0.25">
      <c r="A16">
        <v>0.15</v>
      </c>
      <c r="B16">
        <v>0.71435140549723641</v>
      </c>
      <c r="C16">
        <v>5.1638471693224386E-2</v>
      </c>
      <c r="D16">
        <v>65.058491053926744</v>
      </c>
      <c r="E16">
        <v>13.83370541523924</v>
      </c>
      <c r="F16">
        <v>84.576038370104769</v>
      </c>
      <c r="G16">
        <v>5.6347635841593346</v>
      </c>
      <c r="H16">
        <v>16.367508362776615</v>
      </c>
      <c r="I16">
        <v>829.06041308181727</v>
      </c>
    </row>
    <row r="17" spans="1:9" x14ac:dyDescent="0.25">
      <c r="A17">
        <v>0.16</v>
      </c>
      <c r="B17">
        <v>0.62784791498780534</v>
      </c>
      <c r="C17">
        <v>4.4439966269981139E-2</v>
      </c>
      <c r="D17">
        <v>63.703277001023196</v>
      </c>
      <c r="E17">
        <v>14.128001609486185</v>
      </c>
      <c r="F17">
        <v>82.814260101330163</v>
      </c>
      <c r="G17">
        <v>5.7546367077024021</v>
      </c>
      <c r="H17">
        <v>17.830088858215486</v>
      </c>
      <c r="I17">
        <v>903.14423591166303</v>
      </c>
    </row>
    <row r="18" spans="1:9" x14ac:dyDescent="0.25">
      <c r="A18">
        <v>0.17</v>
      </c>
      <c r="B18">
        <v>0.55615593853591072</v>
      </c>
      <c r="C18">
        <v>3.9177184534063103E-2</v>
      </c>
      <c r="D18">
        <v>63.398524833660673</v>
      </c>
      <c r="E18">
        <v>14.195913901172604</v>
      </c>
      <c r="F18">
        <v>82.418082283758878</v>
      </c>
      <c r="G18">
        <v>5.782298834126598</v>
      </c>
      <c r="H18">
        <v>19.035534119241753</v>
      </c>
      <c r="I18">
        <v>964.20343465487463</v>
      </c>
    </row>
    <row r="19" spans="1:9" x14ac:dyDescent="0.25">
      <c r="A19">
        <v>0.18</v>
      </c>
      <c r="B19">
        <v>0.49607736492863641</v>
      </c>
      <c r="C19">
        <v>3.5257750623661446E-2</v>
      </c>
      <c r="D19">
        <v>63.965779946158456</v>
      </c>
      <c r="E19">
        <v>14.07002307730089</v>
      </c>
      <c r="F19">
        <v>83.155513930005995</v>
      </c>
      <c r="G19">
        <v>5.731020813622365</v>
      </c>
      <c r="H19">
        <v>19.976532401376105</v>
      </c>
      <c r="I19">
        <v>1011.8676488531585</v>
      </c>
    </row>
    <row r="20" spans="1:9" x14ac:dyDescent="0.25">
      <c r="A20">
        <v>0.19</v>
      </c>
      <c r="B20">
        <v>0.44523287046226628</v>
      </c>
      <c r="C20">
        <v>3.2290403154284289E-2</v>
      </c>
      <c r="D20">
        <v>65.27227607584922</v>
      </c>
      <c r="E20">
        <v>13.788396147763574</v>
      </c>
      <c r="F20">
        <v>84.853958898603992</v>
      </c>
      <c r="G20">
        <v>5.6163081521016611</v>
      </c>
      <c r="H20">
        <v>20.664273560789333</v>
      </c>
      <c r="I20">
        <v>1046.7036762483369</v>
      </c>
    </row>
    <row r="21" spans="1:9" x14ac:dyDescent="0.25">
      <c r="A21">
        <v>0.2</v>
      </c>
      <c r="B21">
        <v>0.40182266559219537</v>
      </c>
      <c r="C21">
        <v>3.0010610184184272E-2</v>
      </c>
      <c r="D21">
        <v>67.217584966143974</v>
      </c>
      <c r="E21">
        <v>13.389353402882749</v>
      </c>
      <c r="F21">
        <v>87.382860455987171</v>
      </c>
      <c r="G21">
        <v>5.4537695220032862</v>
      </c>
      <c r="H21">
        <v>21.122357528536877</v>
      </c>
      <c r="I21">
        <v>1069.9069198398074</v>
      </c>
    </row>
    <row r="22" spans="1:9" x14ac:dyDescent="0.25">
      <c r="A22">
        <v>0.21</v>
      </c>
      <c r="B22">
        <v>0.36446500280471239</v>
      </c>
      <c r="C22">
        <v>2.8235753772705218E-2</v>
      </c>
      <c r="D22">
        <v>69.724605105777599</v>
      </c>
      <c r="E22">
        <v>12.907925382074673</v>
      </c>
      <c r="F22">
        <v>90.641986637510882</v>
      </c>
      <c r="G22">
        <v>5.2576736099814143</v>
      </c>
      <c r="H22">
        <v>21.38102543128139</v>
      </c>
      <c r="I22">
        <v>1083.0091778956569</v>
      </c>
    </row>
    <row r="23" spans="1:9" x14ac:dyDescent="0.25">
      <c r="A23">
        <v>0.22</v>
      </c>
      <c r="B23">
        <v>0.33208484759685569</v>
      </c>
      <c r="C23">
        <v>2.6837381452212466E-2</v>
      </c>
      <c r="D23">
        <v>72.733349569484886</v>
      </c>
      <c r="E23">
        <v>12.373966073708681</v>
      </c>
      <c r="F23">
        <v>94.553354440330352</v>
      </c>
      <c r="G23">
        <v>5.0401805829223614</v>
      </c>
      <c r="H23">
        <v>21.47258798460323</v>
      </c>
      <c r="I23">
        <v>1087.6470791936008</v>
      </c>
    </row>
    <row r="24" spans="1:9" x14ac:dyDescent="0.25">
      <c r="A24">
        <v>0.23</v>
      </c>
      <c r="B24">
        <v>0.30383566396385286</v>
      </c>
      <c r="C24">
        <v>2.5723598863174029E-2</v>
      </c>
      <c r="D24">
        <v>76.196581648199512</v>
      </c>
      <c r="E24">
        <v>11.811553491406087</v>
      </c>
      <c r="F24">
        <v>99.05555614265937</v>
      </c>
      <c r="G24">
        <v>4.8110979298726138</v>
      </c>
      <c r="H24">
        <v>21.428296464494139</v>
      </c>
      <c r="I24">
        <v>1085.4035889112818</v>
      </c>
    </row>
    <row r="25" spans="1:9" x14ac:dyDescent="0.25">
      <c r="A25">
        <v>0.24</v>
      </c>
      <c r="B25">
        <v>0.27904351777235792</v>
      </c>
      <c r="C25">
        <v>2.4827647658267879E-2</v>
      </c>
      <c r="D25">
        <v>80.076695817280779</v>
      </c>
      <c r="E25">
        <v>11.2392249806813</v>
      </c>
      <c r="F25">
        <v>104.09970456246502</v>
      </c>
      <c r="G25">
        <v>4.5779763074578703</v>
      </c>
      <c r="H25">
        <v>21.276510186175322</v>
      </c>
      <c r="I25">
        <v>1077.7151862653825</v>
      </c>
    </row>
    <row r="26" spans="1:9" x14ac:dyDescent="0.25">
      <c r="A26">
        <v>0.25</v>
      </c>
      <c r="B26">
        <v>0.25716650597900509</v>
      </c>
      <c r="C26">
        <v>2.4100345931441877E-2</v>
      </c>
      <c r="D26">
        <v>84.343453886908875</v>
      </c>
      <c r="E26">
        <v>10.670656210104422</v>
      </c>
      <c r="F26">
        <v>109.64649005298155</v>
      </c>
      <c r="G26">
        <v>4.3463861074809671</v>
      </c>
      <c r="H26">
        <v>21.041850262668508</v>
      </c>
      <c r="I26">
        <v>1065.8289999990141</v>
      </c>
    </row>
    <row r="27" spans="1:9" x14ac:dyDescent="0.25">
      <c r="A27">
        <v>0.26</v>
      </c>
      <c r="B27">
        <v>0.23776489088295583</v>
      </c>
      <c r="C27">
        <v>2.3504992886868203E-2</v>
      </c>
      <c r="D27">
        <v>88.972318493377031</v>
      </c>
      <c r="E27">
        <v>10.115505757748627</v>
      </c>
      <c r="F27">
        <v>115.66401404139015</v>
      </c>
      <c r="G27">
        <v>4.1202614750149573</v>
      </c>
      <c r="H27">
        <v>20.745014310883686</v>
      </c>
      <c r="I27">
        <v>1050.7934227230046</v>
      </c>
    </row>
    <row r="28" spans="1:9" x14ac:dyDescent="0.25">
      <c r="A28">
        <v>0.27</v>
      </c>
      <c r="B28">
        <v>0.22047882885717168</v>
      </c>
      <c r="C28">
        <v>2.3013876666402262E-2</v>
      </c>
      <c r="D28">
        <v>93.943210362296455</v>
      </c>
      <c r="E28">
        <v>9.5802559496221953</v>
      </c>
      <c r="F28">
        <v>122.12617347098539</v>
      </c>
      <c r="G28">
        <v>3.9022427998495424</v>
      </c>
      <c r="H28">
        <v>20.402982888477666</v>
      </c>
      <c r="I28">
        <v>1033.4685675244095</v>
      </c>
    </row>
    <row r="29" spans="1:9" x14ac:dyDescent="0.25">
      <c r="A29">
        <v>0.28000000000000003</v>
      </c>
      <c r="B29">
        <v>0.2050115640776507</v>
      </c>
      <c r="C29">
        <v>2.260584396714501E-2</v>
      </c>
      <c r="D29">
        <v>99.239570518687856</v>
      </c>
      <c r="E29">
        <v>9.0689630688246545</v>
      </c>
      <c r="F29">
        <v>129.01144167429422</v>
      </c>
      <c r="G29">
        <v>3.693982292698351</v>
      </c>
      <c r="H29">
        <v>20.029423708854832</v>
      </c>
      <c r="I29">
        <v>1014.5467425951525</v>
      </c>
    </row>
    <row r="30" spans="1:9" x14ac:dyDescent="0.25">
      <c r="A30">
        <v>0.28999999999999998</v>
      </c>
      <c r="B30">
        <v>0.19111660670259001</v>
      </c>
      <c r="C30">
        <v>2.2264584556165774E-2</v>
      </c>
      <c r="D30">
        <v>104.84764482937861</v>
      </c>
      <c r="E30">
        <v>8.5838838007720071</v>
      </c>
      <c r="F30">
        <v>136.30193827819221</v>
      </c>
      <c r="G30">
        <v>3.4963991497146418</v>
      </c>
      <c r="H30">
        <v>19.63516780035204</v>
      </c>
      <c r="I30">
        <v>994.57657003629004</v>
      </c>
    </row>
    <row r="31" spans="1:9" x14ac:dyDescent="0.25">
      <c r="A31">
        <v>0.3</v>
      </c>
      <c r="B31">
        <v>0.1785878513743091</v>
      </c>
      <c r="C31">
        <v>2.1977404480826523E-2</v>
      </c>
      <c r="D31">
        <v>110.7559326154102</v>
      </c>
      <c r="E31">
        <v>8.1259755459345673</v>
      </c>
      <c r="F31">
        <v>143.98271240003328</v>
      </c>
      <c r="G31">
        <v>3.3098833405517842</v>
      </c>
      <c r="H31">
        <v>19.228683669566507</v>
      </c>
      <c r="I31">
        <v>973.98700356649863</v>
      </c>
    </row>
    <row r="32" spans="1:9" x14ac:dyDescent="0.25">
      <c r="A32">
        <v>0.31</v>
      </c>
      <c r="B32">
        <v>0.16725188994472234</v>
      </c>
      <c r="C32">
        <v>2.1734338070785054E-2</v>
      </c>
      <c r="D32">
        <v>116.95475770211944</v>
      </c>
      <c r="E32">
        <v>7.695283353006257</v>
      </c>
      <c r="F32">
        <v>152.04118501275528</v>
      </c>
      <c r="G32">
        <v>3.1344532145046631</v>
      </c>
      <c r="H32">
        <v>18.816511009219521</v>
      </c>
      <c r="I32">
        <v>953.10929704731689</v>
      </c>
    </row>
    <row r="33" spans="1:9" x14ac:dyDescent="0.25">
      <c r="A33">
        <v>0.32</v>
      </c>
      <c r="B33">
        <v>0.15696197874695134</v>
      </c>
      <c r="C33">
        <v>2.1527497891873821E-2</v>
      </c>
      <c r="D33">
        <v>123.43593179289449</v>
      </c>
      <c r="E33">
        <v>7.2912318716891473</v>
      </c>
      <c r="F33">
        <v>160.46671133076285</v>
      </c>
      <c r="G33">
        <v>2.9698744191124153</v>
      </c>
      <c r="H33">
        <v>18.403637789902309</v>
      </c>
      <c r="I33">
        <v>932.19610524250868</v>
      </c>
    </row>
    <row r="34" spans="1:9" x14ac:dyDescent="0.25">
      <c r="A34">
        <v>0.33</v>
      </c>
      <c r="B34">
        <v>0.14759326559860253</v>
      </c>
      <c r="C34">
        <v>2.1350593867103699E-2</v>
      </c>
      <c r="D34">
        <v>130.1924881359578</v>
      </c>
      <c r="E34">
        <v>6.9128412313630978</v>
      </c>
      <c r="F34">
        <v>169.25023457674516</v>
      </c>
      <c r="G34">
        <v>2.815747832149881</v>
      </c>
      <c r="H34">
        <v>17.993817505216601</v>
      </c>
      <c r="I34">
        <v>911.43755317825298</v>
      </c>
    </row>
    <row r="35" spans="1:9" x14ac:dyDescent="0.25">
      <c r="A35">
        <v>0.34</v>
      </c>
      <c r="B35">
        <v>0.13903898463397768</v>
      </c>
      <c r="C35">
        <v>2.1198574033378943E-2</v>
      </c>
      <c r="D35">
        <v>137.21846919600335</v>
      </c>
      <c r="E35">
        <v>6.5588838388397761</v>
      </c>
      <c r="F35">
        <v>178.38400995480436</v>
      </c>
      <c r="G35">
        <v>2.6715734287006581</v>
      </c>
      <c r="H35">
        <v>17.589830139511474</v>
      </c>
      <c r="I35">
        <v>890.97445489427503</v>
      </c>
    </row>
    <row r="36" spans="1:9" x14ac:dyDescent="0.25">
      <c r="A36">
        <v>0.35</v>
      </c>
      <c r="B36">
        <v>0.13120740100969649</v>
      </c>
      <c r="C36">
        <v>2.1067353688942598E-2</v>
      </c>
      <c r="D36">
        <v>144.50875616877062</v>
      </c>
      <c r="E36">
        <v>6.2279963087419921</v>
      </c>
      <c r="F36">
        <v>187.86138301940181</v>
      </c>
      <c r="G36">
        <v>2.5367958727904742</v>
      </c>
      <c r="H36">
        <v>17.193693476626986</v>
      </c>
      <c r="I36">
        <v>870.90901682706328</v>
      </c>
    </row>
    <row r="37" spans="1:9" x14ac:dyDescent="0.25">
      <c r="A37">
        <v>0.36</v>
      </c>
      <c r="B37">
        <v>0.1240193412321591</v>
      </c>
      <c r="C37">
        <v>2.0953609413978842E-2</v>
      </c>
      <c r="D37">
        <v>152.05893117331669</v>
      </c>
      <c r="E37">
        <v>5.9187578990291625</v>
      </c>
      <c r="F37">
        <v>197.6766105253117</v>
      </c>
      <c r="G37">
        <v>2.4108364658514136</v>
      </c>
      <c r="H37">
        <v>16.806832269750416</v>
      </c>
      <c r="I37">
        <v>851.3134067397126</v>
      </c>
    </row>
    <row r="38" spans="1:9" x14ac:dyDescent="0.25">
      <c r="A38">
        <v>0.37</v>
      </c>
      <c r="B38">
        <v>0.11740618424899794</v>
      </c>
      <c r="C38">
        <v>2.0854621150194399E-2</v>
      </c>
      <c r="D38">
        <v>159.86516515491945</v>
      </c>
      <c r="E38">
        <v>5.6297442856162139</v>
      </c>
      <c r="F38">
        <v>207.82471470139529</v>
      </c>
      <c r="G38">
        <v>2.2931150502723598</v>
      </c>
      <c r="H38">
        <v>16.430212560035088</v>
      </c>
      <c r="I38">
        <v>832.23655733840428</v>
      </c>
    </row>
    <row r="39" spans="1:9" x14ac:dyDescent="0.25">
      <c r="A39">
        <v>0.38</v>
      </c>
      <c r="B39">
        <v>0.11130821761556657</v>
      </c>
      <c r="C39">
        <v>2.076815019714277E-2</v>
      </c>
      <c r="D39">
        <v>167.92412615916768</v>
      </c>
      <c r="E39">
        <v>5.3595633967863003</v>
      </c>
      <c r="F39">
        <v>218.30136400691799</v>
      </c>
      <c r="G39">
        <v>2.1830646055204053</v>
      </c>
      <c r="H39">
        <v>16.064447671899661</v>
      </c>
      <c r="I39">
        <v>813.70953523294929</v>
      </c>
    </row>
    <row r="40" spans="1:9" x14ac:dyDescent="0.25">
      <c r="A40">
        <v>0.39</v>
      </c>
      <c r="B40">
        <v>0.10567328483686926</v>
      </c>
      <c r="C40">
        <v>2.0692344273949274E-2</v>
      </c>
      <c r="D40">
        <v>176.23290385364049</v>
      </c>
      <c r="E40">
        <v>5.1068783429196634</v>
      </c>
      <c r="F40">
        <v>229.10277500973265</v>
      </c>
      <c r="G40">
        <v>2.0801405879090011</v>
      </c>
      <c r="H40">
        <v>15.709881469840058</v>
      </c>
      <c r="I40">
        <v>795.74975812888454</v>
      </c>
    </row>
    <row r="41" spans="1:9" x14ac:dyDescent="0.25">
      <c r="A41">
        <v>0.4</v>
      </c>
      <c r="B41">
        <v>0.10045566639804884</v>
      </c>
      <c r="C41">
        <v>2.0625663136511516E-2</v>
      </c>
      <c r="D41">
        <v>184.78894708940896</v>
      </c>
      <c r="E41">
        <v>4.8704211706154741</v>
      </c>
      <c r="F41">
        <v>240.22563121623165</v>
      </c>
      <c r="G41">
        <v>1.9838265329454494</v>
      </c>
      <c r="H41">
        <v>15.366653517136388</v>
      </c>
      <c r="I41">
        <v>778.36429529955876</v>
      </c>
    </row>
    <row r="42" spans="1:9" x14ac:dyDescent="0.25">
      <c r="A42">
        <v>0.41</v>
      </c>
      <c r="B42">
        <v>9.5615149456798429E-2</v>
      </c>
      <c r="C42">
        <v>2.0566819921950048E-2</v>
      </c>
      <c r="D42">
        <v>193.59001198987232</v>
      </c>
      <c r="E42">
        <v>4.6490001769672062</v>
      </c>
      <c r="F42">
        <v>251.66701558683403</v>
      </c>
      <c r="G42">
        <v>1.8936370345914355</v>
      </c>
      <c r="H42">
        <v>15.034749917597235</v>
      </c>
      <c r="I42">
        <v>761.55244286372522</v>
      </c>
    </row>
    <row r="43" spans="1:9" x14ac:dyDescent="0.25">
      <c r="A43">
        <v>0.42</v>
      </c>
      <c r="B43">
        <v>9.1116250701178098E-2</v>
      </c>
      <c r="C43">
        <v>2.0514734610794075E-2</v>
      </c>
      <c r="D43">
        <v>202.63411858622433</v>
      </c>
      <c r="E43">
        <v>4.4415027749487033</v>
      </c>
      <c r="F43">
        <v>263.42435416209162</v>
      </c>
      <c r="G43">
        <v>1.8091189123959512</v>
      </c>
      <c r="H43">
        <v>14.714042880378301</v>
      </c>
      <c r="I43">
        <v>745.30772785507691</v>
      </c>
    </row>
    <row r="44" spans="1:9" x14ac:dyDescent="0.25">
      <c r="A44">
        <v>0.43</v>
      </c>
      <c r="B44">
        <v>8.6927564216808098E-2</v>
      </c>
      <c r="C44">
        <v>2.0468496888081372E-2</v>
      </c>
      <c r="D44">
        <v>211.9195144284426</v>
      </c>
      <c r="E44">
        <v>4.2468953481105522</v>
      </c>
      <c r="F44">
        <v>275.49536875697538</v>
      </c>
      <c r="G44">
        <v>1.7298511523100242</v>
      </c>
      <c r="H44">
        <v>14.404321429441017</v>
      </c>
      <c r="I44">
        <v>729.6194637428473</v>
      </c>
    </row>
    <row r="45" spans="1:9" x14ac:dyDescent="0.25">
      <c r="A45">
        <v>0.44</v>
      </c>
      <c r="B45">
        <v>8.3021211899213923E-2</v>
      </c>
      <c r="C45">
        <v>2.042733634076328E-2</v>
      </c>
      <c r="D45">
        <v>221.44464391829752</v>
      </c>
      <c r="E45">
        <v>4.0642211257638587</v>
      </c>
      <c r="F45">
        <v>287.87803709378676</v>
      </c>
      <c r="G45">
        <v>1.6554440412037066</v>
      </c>
      <c r="H45">
        <v>14.105315174133429</v>
      </c>
      <c r="I45">
        <v>714.4739544787052</v>
      </c>
    </row>
    <row r="46" spans="1:9" x14ac:dyDescent="0.25">
      <c r="A46">
        <v>0.45</v>
      </c>
      <c r="B46">
        <v>7.9372378388581813E-2</v>
      </c>
      <c r="C46">
        <v>2.0390598415965733E-2</v>
      </c>
      <c r="D46">
        <v>231.20812235871136</v>
      </c>
      <c r="E46">
        <v>3.8925968119912384</v>
      </c>
      <c r="F46">
        <v>300.57055906632479</v>
      </c>
      <c r="G46">
        <v>1.585537793790271</v>
      </c>
      <c r="H46">
        <v>13.816712650899474</v>
      </c>
      <c r="I46">
        <v>699.85542355600535</v>
      </c>
    </row>
    <row r="47" spans="1:9" x14ac:dyDescent="0.25">
      <c r="A47">
        <v>0.46</v>
      </c>
      <c r="B47">
        <v>7.5958915990963216E-2</v>
      </c>
      <c r="C47">
        <v>2.0357724928948377E-2</v>
      </c>
      <c r="D47">
        <v>241.20871390836186</v>
      </c>
      <c r="E47">
        <v>3.7312084850380693</v>
      </c>
      <c r="F47">
        <v>313.57132808087044</v>
      </c>
      <c r="G47">
        <v>1.5198008823607174</v>
      </c>
      <c r="H47">
        <v>13.5381754222939</v>
      </c>
      <c r="I47">
        <v>685.74672816461793</v>
      </c>
    </row>
    <row r="48" spans="1:9" x14ac:dyDescent="0.25">
      <c r="A48">
        <v>0.47</v>
      </c>
      <c r="B48">
        <v>7.2761007803023192E-2</v>
      </c>
      <c r="C48">
        <v>2.0328238183903721E-2</v>
      </c>
      <c r="D48">
        <v>251.44531278404287</v>
      </c>
      <c r="E48">
        <v>3.5793071266075938</v>
      </c>
      <c r="F48">
        <v>326.87890661925576</v>
      </c>
      <c r="G48">
        <v>1.4579282157702111</v>
      </c>
      <c r="H48">
        <v>13.269348863289016</v>
      </c>
      <c r="I48">
        <v>672.1299055477549</v>
      </c>
    </row>
    <row r="49" spans="1:9" x14ac:dyDescent="0.25">
      <c r="A49">
        <v>0.48</v>
      </c>
      <c r="B49">
        <v>6.976087944308948E-2</v>
      </c>
      <c r="C49">
        <v>2.0301727978641743E-2</v>
      </c>
      <c r="D49">
        <v>261.91692717525723</v>
      </c>
      <c r="E49">
        <v>3.436204027385295</v>
      </c>
      <c r="F49">
        <v>340.49200532783442</v>
      </c>
      <c r="G49">
        <v>1.3996392680100638</v>
      </c>
      <c r="H49">
        <v>13.009870363144573</v>
      </c>
      <c r="I49">
        <v>658.98658844978775</v>
      </c>
    </row>
    <row r="50" spans="1:9" x14ac:dyDescent="0.25">
      <c r="A50">
        <v>0.49</v>
      </c>
      <c r="B50">
        <v>6.6942551535559433E-2</v>
      </c>
      <c r="C50">
        <v>2.0277840922777644E-2</v>
      </c>
      <c r="D50">
        <v>272.62266543284613</v>
      </c>
      <c r="E50">
        <v>3.3012662339393524</v>
      </c>
      <c r="F50">
        <v>354.40946506270001</v>
      </c>
      <c r="G50">
        <v>1.3446762236330729</v>
      </c>
      <c r="H50">
        <v>12.759375512793163</v>
      </c>
      <c r="I50">
        <v>646.29831852475093</v>
      </c>
    </row>
    <row r="51" spans="1:9" x14ac:dyDescent="0.25">
      <c r="A51">
        <v>0.5</v>
      </c>
      <c r="B51">
        <v>6.4291626494751272E-2</v>
      </c>
      <c r="C51">
        <v>2.0256271620715117E-2</v>
      </c>
      <c r="D51">
        <v>283.56172417152868</v>
      </c>
      <c r="E51">
        <v>3.1739121442765068</v>
      </c>
      <c r="F51">
        <v>368.6302414229873</v>
      </c>
      <c r="G51">
        <v>1.2928021837293864</v>
      </c>
      <c r="H51">
        <v>12.517502723682602</v>
      </c>
      <c r="I51">
        <v>634.04678029372133</v>
      </c>
    </row>
    <row r="52" spans="1:9" x14ac:dyDescent="0.25">
      <c r="A52">
        <v>0.51</v>
      </c>
      <c r="B52">
        <v>6.1795104281767842E-2</v>
      </c>
      <c r="C52">
        <v>2.0236755364618064E-2</v>
      </c>
      <c r="D52">
        <v>294.7333779891344</v>
      </c>
      <c r="E52">
        <v>3.0536073183851586</v>
      </c>
      <c r="F52">
        <v>383.15339138587473</v>
      </c>
      <c r="G52">
        <v>1.2437994594712543</v>
      </c>
      <c r="H52">
        <v>12.283896626990453</v>
      </c>
      <c r="I52">
        <v>622.21397332461163</v>
      </c>
    </row>
    <row r="53" spans="1:9" x14ac:dyDescent="0.25">
      <c r="A53">
        <v>0.52</v>
      </c>
      <c r="B53">
        <v>5.9441222720738957E-2</v>
      </c>
      <c r="C53">
        <v>2.0219062055429261E-2</v>
      </c>
      <c r="D53">
        <v>306.13697055624959</v>
      </c>
      <c r="E53">
        <v>2.9398605413932981</v>
      </c>
      <c r="F53">
        <v>397.97806172312448</v>
      </c>
      <c r="G53">
        <v>1.1974679685531977</v>
      </c>
      <c r="H53">
        <v>12.058210526248564</v>
      </c>
      <c r="I53">
        <v>610.7823364645127</v>
      </c>
    </row>
    <row r="54" spans="1:9" x14ac:dyDescent="0.25">
      <c r="A54">
        <v>0.53</v>
      </c>
      <c r="B54">
        <v>5.7219318703053801E-2</v>
      </c>
      <c r="C54">
        <v>2.0202991126836184E-2</v>
      </c>
      <c r="D54">
        <v>317.77190687141393</v>
      </c>
      <c r="E54">
        <v>2.8322201570958381</v>
      </c>
      <c r="F54">
        <v>413.10347893283813</v>
      </c>
      <c r="G54">
        <v>1.1536237417594066</v>
      </c>
      <c r="H54">
        <v>11.840108117079945</v>
      </c>
      <c r="I54">
        <v>599.73483494921174</v>
      </c>
    </row>
    <row r="55" spans="1:9" x14ac:dyDescent="0.25">
      <c r="A55">
        <v>0.54</v>
      </c>
      <c r="B55">
        <v>5.5119707214292921E-2</v>
      </c>
      <c r="C55">
        <v>2.018836729165014E-2</v>
      </c>
      <c r="D55">
        <v>329.63764651082255</v>
      </c>
      <c r="E55">
        <v>2.7302706760784115</v>
      </c>
      <c r="F55">
        <v>428.52894046406931</v>
      </c>
      <c r="G55">
        <v>1.1120975413801424</v>
      </c>
      <c r="H55">
        <v>11.62926464133497</v>
      </c>
      <c r="I55">
        <v>589.05501886344314</v>
      </c>
    </row>
    <row r="56" spans="1:9" x14ac:dyDescent="0.25">
      <c r="A56">
        <v>0.55000000000000004</v>
      </c>
      <c r="B56">
        <v>5.3133575615496899E-2</v>
      </c>
      <c r="C56">
        <v>2.017503696517664E-2</v>
      </c>
      <c r="D56">
        <v>341.73369772922194</v>
      </c>
      <c r="E56">
        <v>2.633629653675913</v>
      </c>
      <c r="F56">
        <v>444.25380704798852</v>
      </c>
      <c r="G56">
        <v>1.0727335895375905</v>
      </c>
      <c r="H56">
        <v>11.425367606585608</v>
      </c>
      <c r="I56">
        <v>578.72705958529764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FA4FA-5F84-4355-A076-CD4D5DE64860}">
  <dimension ref="A1:I56"/>
  <sheetViews>
    <sheetView workbookViewId="0"/>
  </sheetViews>
  <sheetFormatPr defaultRowHeight="15" x14ac:dyDescent="0.25"/>
  <cols>
    <col min="1" max="1" width="8.140625" bestFit="1" customWidth="1"/>
    <col min="2" max="3" width="12" bestFit="1" customWidth="1"/>
    <col min="4" max="4" width="17.5703125" bestFit="1" customWidth="1"/>
    <col min="5" max="6" width="12" bestFit="1" customWidth="1"/>
    <col min="7" max="7" width="12.5703125" bestFit="1" customWidth="1"/>
    <col min="8" max="8" width="12.28515625" bestFit="1" customWidth="1"/>
    <col min="9" max="9" width="12" bestFit="1" customWidth="1"/>
  </cols>
  <sheetData>
    <row r="1" spans="1:9" x14ac:dyDescent="0.25">
      <c r="A1" t="s">
        <v>69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  <c r="I1" t="s">
        <v>77</v>
      </c>
    </row>
    <row r="2" spans="1:9" x14ac:dyDescent="0.25">
      <c r="A2">
        <v>0.01</v>
      </c>
      <c r="B2">
        <v>233.78494265185881</v>
      </c>
      <c r="C2">
        <v>3388.6547634654407</v>
      </c>
      <c r="D2">
        <v>18974.721613974907</v>
      </c>
      <c r="E2">
        <v>6.8990487072450063E-2</v>
      </c>
      <c r="F2">
        <v>23803.260216614661</v>
      </c>
      <c r="G2">
        <v>2.9121162508864699E-2</v>
      </c>
      <c r="H2">
        <v>4.5121231352559946E-3</v>
      </c>
      <c r="I2">
        <v>0.27564213633363721</v>
      </c>
    </row>
    <row r="3" spans="1:9" x14ac:dyDescent="0.25">
      <c r="A3">
        <v>0.02</v>
      </c>
      <c r="B3">
        <v>58.446235662964703</v>
      </c>
      <c r="C3">
        <v>211.80967271659006</v>
      </c>
      <c r="D3">
        <v>4744.1003648708474</v>
      </c>
      <c r="E3">
        <v>0.27593751934628663</v>
      </c>
      <c r="F3">
        <v>5951.3418840141458</v>
      </c>
      <c r="G3">
        <v>0.11647433847999417</v>
      </c>
      <c r="H3">
        <v>3.6093789673351043E-2</v>
      </c>
      <c r="I3">
        <v>2.2049418856063641</v>
      </c>
    </row>
    <row r="4" spans="1:9" x14ac:dyDescent="0.25">
      <c r="A4">
        <v>0.03</v>
      </c>
      <c r="B4">
        <v>25.976104739095433</v>
      </c>
      <c r="C4">
        <v>41.854997079820293</v>
      </c>
      <c r="D4">
        <v>2109.2978655577936</v>
      </c>
      <c r="E4">
        <v>0.62062134873781627</v>
      </c>
      <c r="F4">
        <v>2646.0554726264691</v>
      </c>
      <c r="G4">
        <v>0.26196677136204632</v>
      </c>
      <c r="H4">
        <v>0.1217698293505133</v>
      </c>
      <c r="I4">
        <v>7.4388253372109299</v>
      </c>
    </row>
    <row r="5" spans="1:9" x14ac:dyDescent="0.25">
      <c r="A5">
        <v>0.04</v>
      </c>
      <c r="B5">
        <v>14.611558915741176</v>
      </c>
      <c r="C5">
        <v>13.256854544786878</v>
      </c>
      <c r="D5">
        <v>1187.7049367261905</v>
      </c>
      <c r="E5">
        <v>1.1021889744944831</v>
      </c>
      <c r="F5">
        <v>1489.9427904454499</v>
      </c>
      <c r="G5">
        <v>0.46523840610120959</v>
      </c>
      <c r="H5">
        <v>0.28834191972107914</v>
      </c>
      <c r="I5">
        <v>17.61458638516325</v>
      </c>
    </row>
    <row r="6" spans="1:9" x14ac:dyDescent="0.25">
      <c r="A6">
        <v>0.05</v>
      </c>
      <c r="B6">
        <v>9.3513977060743549</v>
      </c>
      <c r="C6">
        <v>5.4418156215447073</v>
      </c>
      <c r="D6">
        <v>761.78412748510539</v>
      </c>
      <c r="E6">
        <v>1.7184333973115904</v>
      </c>
      <c r="F6">
        <v>955.63698821593164</v>
      </c>
      <c r="G6">
        <v>0.72535765940047747</v>
      </c>
      <c r="H6">
        <v>0.56194581437463842</v>
      </c>
      <c r="I6">
        <v>34.328838140004095</v>
      </c>
    </row>
    <row r="7" spans="1:9" x14ac:dyDescent="0.25">
      <c r="A7">
        <v>0.06</v>
      </c>
      <c r="B7">
        <v>6.4940261847738583</v>
      </c>
      <c r="C7">
        <v>2.6346873174887682</v>
      </c>
      <c r="D7">
        <v>531.10411878352556</v>
      </c>
      <c r="E7">
        <v>2.4648185542425538</v>
      </c>
      <c r="F7">
        <v>666.25533690092334</v>
      </c>
      <c r="G7">
        <v>1.0404098408173954</v>
      </c>
      <c r="H7">
        <v>0.96722594329216394</v>
      </c>
      <c r="I7">
        <v>59.087089898587948</v>
      </c>
    </row>
    <row r="8" spans="1:9" x14ac:dyDescent="0.25">
      <c r="A8">
        <v>7.0000000000000007E-2</v>
      </c>
      <c r="B8">
        <v>4.771121278609364</v>
      </c>
      <c r="C8">
        <v>1.4313430918223413</v>
      </c>
      <c r="D8">
        <v>392.72442643533697</v>
      </c>
      <c r="E8">
        <v>3.3333177110841548</v>
      </c>
      <c r="F8">
        <v>492.66186382287498</v>
      </c>
      <c r="G8">
        <v>1.4070068335105512</v>
      </c>
      <c r="H8">
        <v>1.5260419834234213</v>
      </c>
      <c r="I8">
        <v>93.22473253420813</v>
      </c>
    </row>
    <row r="9" spans="1:9" x14ac:dyDescent="0.25">
      <c r="A9">
        <v>0.08</v>
      </c>
      <c r="B9">
        <v>3.652889728935294</v>
      </c>
      <c r="C9">
        <v>0.84730340904917989</v>
      </c>
      <c r="D9">
        <v>303.64561621546255</v>
      </c>
      <c r="E9">
        <v>4.3111944197586372</v>
      </c>
      <c r="F9">
        <v>380.91497537901751</v>
      </c>
      <c r="G9">
        <v>1.8197725314398678</v>
      </c>
      <c r="H9">
        <v>2.2556895487983879</v>
      </c>
      <c r="I9">
        <v>137.79834182228501</v>
      </c>
    </row>
    <row r="10" spans="1:9" x14ac:dyDescent="0.25">
      <c r="A10">
        <v>0.09</v>
      </c>
      <c r="B10">
        <v>2.8862338598994923</v>
      </c>
      <c r="C10">
        <v>0.53648144542988008</v>
      </c>
      <c r="D10">
        <v>243.32560555164133</v>
      </c>
      <c r="E10">
        <v>5.379932306115017</v>
      </c>
      <c r="F10">
        <v>305.24520064870319</v>
      </c>
      <c r="G10">
        <v>2.2708910984863819</v>
      </c>
      <c r="H10">
        <v>3.1667301173184139</v>
      </c>
      <c r="I10">
        <v>193.45311033498518</v>
      </c>
    </row>
    <row r="11" spans="1:9" x14ac:dyDescent="0.25">
      <c r="A11">
        <v>0.1</v>
      </c>
      <c r="B11">
        <v>2.3378494265185887</v>
      </c>
      <c r="C11">
        <v>0.35886347634654425</v>
      </c>
      <c r="D11">
        <v>200.94506629926843</v>
      </c>
      <c r="E11">
        <v>6.5145928204211954</v>
      </c>
      <c r="F11">
        <v>252.07999356594397</v>
      </c>
      <c r="G11">
        <v>2.749835872347778</v>
      </c>
      <c r="H11">
        <v>4.2606808893705033</v>
      </c>
      <c r="I11">
        <v>260.28172267850931</v>
      </c>
    </row>
    <row r="12" spans="1:9" x14ac:dyDescent="0.25">
      <c r="A12">
        <v>0.11</v>
      </c>
      <c r="B12">
        <v>1.9321069640649493</v>
      </c>
      <c r="C12">
        <v>0.2514483138764731</v>
      </c>
      <c r="D12">
        <v>170.36570934091043</v>
      </c>
      <c r="E12">
        <v>7.6839129850523449</v>
      </c>
      <c r="F12">
        <v>213.71904125555793</v>
      </c>
      <c r="G12">
        <v>3.2434106242314202</v>
      </c>
      <c r="H12">
        <v>5.5279849907441889</v>
      </c>
      <c r="I12">
        <v>337.70035674847787</v>
      </c>
    </row>
    <row r="13" spans="1:9" x14ac:dyDescent="0.25">
      <c r="A13">
        <v>0.12</v>
      </c>
      <c r="B13">
        <v>1.6235065461934646</v>
      </c>
      <c r="C13">
        <v>0.183417957343048</v>
      </c>
      <c r="D13">
        <v>147.89463927218995</v>
      </c>
      <c r="E13">
        <v>8.8514045718926422</v>
      </c>
      <c r="F13">
        <v>185.52970920245465</v>
      </c>
      <c r="G13">
        <v>3.7362135260634508</v>
      </c>
      <c r="H13">
        <v>6.9468059803212157</v>
      </c>
      <c r="I13">
        <v>424.37504113069571</v>
      </c>
    </row>
    <row r="14" spans="1:9" x14ac:dyDescent="0.25">
      <c r="A14">
        <v>0.13</v>
      </c>
      <c r="B14">
        <v>1.3833428559281591</v>
      </c>
      <c r="C14">
        <v>0.13864552233694347</v>
      </c>
      <c r="D14">
        <v>131.20205598886639</v>
      </c>
      <c r="E14">
        <v>9.9775516194910949</v>
      </c>
      <c r="F14">
        <v>164.58932801194365</v>
      </c>
      <c r="G14">
        <v>4.2115647313325706</v>
      </c>
      <c r="H14">
        <v>8.4831875273921362</v>
      </c>
      <c r="I14">
        <v>518.23140966576693</v>
      </c>
    </row>
    <row r="15" spans="1:9" x14ac:dyDescent="0.25">
      <c r="A15">
        <v>0.14000000000000001</v>
      </c>
      <c r="B15">
        <v>1.192780319652341</v>
      </c>
      <c r="C15">
        <v>0.10820894323889634</v>
      </c>
      <c r="D15">
        <v>118.75921408769868</v>
      </c>
      <c r="E15">
        <v>11.02293658869768</v>
      </c>
      <c r="F15">
        <v>148.98012911916231</v>
      </c>
      <c r="G15">
        <v>4.6528259379771919</v>
      </c>
      <c r="H15">
        <v>10.092925711240207</v>
      </c>
      <c r="I15">
        <v>616.56907879246216</v>
      </c>
    </row>
    <row r="16" spans="1:9" x14ac:dyDescent="0.25">
      <c r="A16">
        <v>0.15</v>
      </c>
      <c r="B16">
        <v>1.0390441895638172</v>
      </c>
      <c r="C16">
        <v>8.6935995327712443E-2</v>
      </c>
      <c r="D16">
        <v>109.52928095728916</v>
      </c>
      <c r="E16">
        <v>11.951829453922439</v>
      </c>
      <c r="F16">
        <v>137.4014348671592</v>
      </c>
      <c r="G16">
        <v>5.0449153582639088</v>
      </c>
      <c r="H16">
        <v>11.72512221816431</v>
      </c>
      <c r="I16">
        <v>716.27870962445297</v>
      </c>
    </row>
    <row r="17" spans="1:9" x14ac:dyDescent="0.25">
      <c r="A17">
        <v>0.16</v>
      </c>
      <c r="B17">
        <v>0.91322243223382349</v>
      </c>
      <c r="C17">
        <v>7.1706463065573739E-2</v>
      </c>
      <c r="D17">
        <v>102.7889321895253</v>
      </c>
      <c r="E17">
        <v>12.735566547170299</v>
      </c>
      <c r="F17">
        <v>128.94585491537455</v>
      </c>
      <c r="G17">
        <v>5.3757339424656454</v>
      </c>
      <c r="H17">
        <v>13.326925933480277</v>
      </c>
      <c r="I17">
        <v>814.13166816340481</v>
      </c>
    </row>
    <row r="18" spans="1:9" x14ac:dyDescent="0.25">
      <c r="A18">
        <v>0.17</v>
      </c>
      <c r="B18">
        <v>0.80894443824172602</v>
      </c>
      <c r="C18">
        <v>6.057224845805774E-2</v>
      </c>
      <c r="D18">
        <v>98.021112128665976</v>
      </c>
      <c r="E18">
        <v>13.355034010366419</v>
      </c>
      <c r="F18">
        <v>122.96475733283901</v>
      </c>
      <c r="G18">
        <v>5.6372136540923243</v>
      </c>
      <c r="H18">
        <v>14.848604906056137</v>
      </c>
      <c r="I18">
        <v>907.08986771639354</v>
      </c>
    </row>
    <row r="19" spans="1:9" x14ac:dyDescent="0.25">
      <c r="A19">
        <v>0.18</v>
      </c>
      <c r="B19">
        <v>0.72155846497487308</v>
      </c>
      <c r="C19">
        <v>5.2280090339367508E-2</v>
      </c>
      <c r="D19">
        <v>94.848272934604609</v>
      </c>
      <c r="E19">
        <v>13.801783055289238</v>
      </c>
      <c r="F19">
        <v>118.98451886092946</v>
      </c>
      <c r="G19">
        <v>5.8257882256012241</v>
      </c>
      <c r="H19">
        <v>16.24798216297296</v>
      </c>
      <c r="I19">
        <v>992.57674940615368</v>
      </c>
    </row>
    <row r="20" spans="1:9" x14ac:dyDescent="0.25">
      <c r="A20">
        <v>0.19</v>
      </c>
      <c r="B20">
        <v>0.64760371925722682</v>
      </c>
      <c r="C20">
        <v>4.6002215786139167E-2</v>
      </c>
      <c r="D20">
        <v>92.989527400659625</v>
      </c>
      <c r="E20">
        <v>14.077663612289628</v>
      </c>
      <c r="F20">
        <v>116.65277431568263</v>
      </c>
      <c r="G20">
        <v>5.9422385200455539</v>
      </c>
      <c r="H20">
        <v>17.493468056900419</v>
      </c>
      <c r="I20">
        <v>1068.6625259429452</v>
      </c>
    </row>
    <row r="21" spans="1:9" x14ac:dyDescent="0.25">
      <c r="A21">
        <v>0.2</v>
      </c>
      <c r="B21">
        <v>0.58446235662964718</v>
      </c>
      <c r="C21">
        <v>4.1178967271659012E-2</v>
      </c>
      <c r="D21">
        <v>92.232404286785339</v>
      </c>
      <c r="E21">
        <v>14.19322521553126</v>
      </c>
      <c r="F21">
        <v>115.70298443933</v>
      </c>
      <c r="G21">
        <v>5.9910175382926694</v>
      </c>
      <c r="H21">
        <v>18.565336346051406</v>
      </c>
      <c r="I21">
        <v>1134.1421363687575</v>
      </c>
    </row>
    <row r="22" spans="1:9" x14ac:dyDescent="0.25">
      <c r="A22">
        <v>0.21</v>
      </c>
      <c r="B22">
        <v>0.53012458651215177</v>
      </c>
      <c r="C22">
        <v>3.7423988787930157E-2</v>
      </c>
      <c r="D22">
        <v>92.413783627901324</v>
      </c>
      <c r="E22">
        <v>14.16536835547379</v>
      </c>
      <c r="F22">
        <v>115.93051977514868</v>
      </c>
      <c r="G22">
        <v>5.9792590454461356</v>
      </c>
      <c r="H22">
        <v>19.455343319865886</v>
      </c>
      <c r="I22">
        <v>1188.5119787379067</v>
      </c>
    </row>
    <row r="23" spans="1:9" x14ac:dyDescent="0.25">
      <c r="A23">
        <v>0.22</v>
      </c>
      <c r="B23">
        <v>0.48302674101623733</v>
      </c>
      <c r="C23">
        <v>3.4465519617279568E-2</v>
      </c>
      <c r="D23">
        <v>93.406753966709175</v>
      </c>
      <c r="E23">
        <v>14.014781914794284</v>
      </c>
      <c r="F23">
        <v>117.17617343178074</v>
      </c>
      <c r="G23">
        <v>5.9156959022253295</v>
      </c>
      <c r="H23">
        <v>20.165117492675027</v>
      </c>
      <c r="I23">
        <v>1231.8715377399358</v>
      </c>
    </row>
    <row r="24" spans="1:9" x14ac:dyDescent="0.25">
      <c r="A24">
        <v>0.23</v>
      </c>
      <c r="B24">
        <v>0.44193750973886359</v>
      </c>
      <c r="C24">
        <v>3.2109143275879666E-2</v>
      </c>
      <c r="D24">
        <v>95.111378866075782</v>
      </c>
      <c r="E24">
        <v>13.76360328090243</v>
      </c>
      <c r="F24">
        <v>119.31457792997691</v>
      </c>
      <c r="G24">
        <v>5.8096723890323005</v>
      </c>
      <c r="H24">
        <v>20.703878675760638</v>
      </c>
      <c r="I24">
        <v>1264.784044563828</v>
      </c>
    </row>
    <row r="25" spans="1:9" x14ac:dyDescent="0.25">
      <c r="A25">
        <v>0.24</v>
      </c>
      <c r="B25">
        <v>0.40587663654836614</v>
      </c>
      <c r="C25">
        <v>3.0213622333940503E-2</v>
      </c>
      <c r="D25">
        <v>97.448098123281753</v>
      </c>
      <c r="E25">
        <v>13.433564240075386</v>
      </c>
      <c r="F25">
        <v>122.24592720950905</v>
      </c>
      <c r="G25">
        <v>5.6703615803971745</v>
      </c>
      <c r="H25">
        <v>21.086001355382809</v>
      </c>
      <c r="I25">
        <v>1288.1276255334135</v>
      </c>
    </row>
    <row r="26" spans="1:9" x14ac:dyDescent="0.25">
      <c r="A26">
        <v>0.25</v>
      </c>
      <c r="B26">
        <v>0.37405590824297413</v>
      </c>
      <c r="C26">
        <v>2.8674904994471527E-2</v>
      </c>
      <c r="D26">
        <v>100.35293825211933</v>
      </c>
      <c r="E26">
        <v>13.044713079784971</v>
      </c>
      <c r="F26">
        <v>125.88996831224965</v>
      </c>
      <c r="G26">
        <v>5.5062259392226736</v>
      </c>
      <c r="H26">
        <v>21.328792626968756</v>
      </c>
      <c r="I26">
        <v>1302.959557813851</v>
      </c>
    </row>
    <row r="27" spans="1:9" x14ac:dyDescent="0.25">
      <c r="A27">
        <v>0.26</v>
      </c>
      <c r="B27">
        <v>0.34583571398203977</v>
      </c>
      <c r="C27">
        <v>2.7415345146058968E-2</v>
      </c>
      <c r="D27">
        <v>103.77398673044294</v>
      </c>
      <c r="E27">
        <v>12.614676639653929</v>
      </c>
      <c r="F27">
        <v>130.18157842384232</v>
      </c>
      <c r="G27">
        <v>5.324705825520061</v>
      </c>
      <c r="H27">
        <v>21.4506868243204</v>
      </c>
      <c r="I27">
        <v>1310.4059806967171</v>
      </c>
    </row>
    <row r="28" spans="1:9" x14ac:dyDescent="0.25">
      <c r="A28">
        <v>0.27</v>
      </c>
      <c r="B28">
        <v>0.32069265109994349</v>
      </c>
      <c r="C28">
        <v>2.6376314141109625E-2</v>
      </c>
      <c r="D28">
        <v>107.66876280160582</v>
      </c>
      <c r="E28">
        <v>12.158357281623287</v>
      </c>
      <c r="F28">
        <v>135.06746661727195</v>
      </c>
      <c r="G28">
        <v>5.1320915862960907</v>
      </c>
      <c r="H28">
        <v>21.469918573364463</v>
      </c>
      <c r="I28">
        <v>1311.5808334729011</v>
      </c>
    </row>
    <row r="29" spans="1:9" x14ac:dyDescent="0.25">
      <c r="A29">
        <v>0.28000000000000003</v>
      </c>
      <c r="B29">
        <v>0.29819507991308525</v>
      </c>
      <c r="C29">
        <v>2.5513058952431021E-2</v>
      </c>
      <c r="D29">
        <v>112.00223343738243</v>
      </c>
      <c r="E29">
        <v>11.687939124393848</v>
      </c>
      <c r="F29">
        <v>140.50368493356487</v>
      </c>
      <c r="G29">
        <v>4.9335261871358691</v>
      </c>
      <c r="H29">
        <v>21.40364327614121</v>
      </c>
      <c r="I29">
        <v>1307.5321264750746</v>
      </c>
    </row>
    <row r="30" spans="1:9" x14ac:dyDescent="0.25">
      <c r="A30">
        <v>0.28999999999999998</v>
      </c>
      <c r="B30">
        <v>0.27798447402123533</v>
      </c>
      <c r="C30">
        <v>2.4791072803405499E-2</v>
      </c>
      <c r="D30">
        <v>116.74529967867296</v>
      </c>
      <c r="E30">
        <v>11.213087720150988</v>
      </c>
      <c r="F30">
        <v>146.45372953832614</v>
      </c>
      <c r="G30">
        <v>4.7330894965527568</v>
      </c>
      <c r="H30">
        <v>21.267426935714631</v>
      </c>
      <c r="I30">
        <v>1299.2107748733522</v>
      </c>
    </row>
    <row r="31" spans="1:9" x14ac:dyDescent="0.25">
      <c r="A31">
        <v>0.3</v>
      </c>
      <c r="B31">
        <v>0.25976104739095429</v>
      </c>
      <c r="C31">
        <v>2.4183499707982028E-2</v>
      </c>
      <c r="D31">
        <v>121.8736300912508</v>
      </c>
      <c r="E31">
        <v>10.741251288175521</v>
      </c>
      <c r="F31">
        <v>152.88707732443882</v>
      </c>
      <c r="G31">
        <v>4.5339254379089748</v>
      </c>
      <c r="H31">
        <v>21.075013597778554</v>
      </c>
      <c r="I31">
        <v>1287.4563918616443</v>
      </c>
    </row>
    <row r="32" spans="1:9" x14ac:dyDescent="0.25">
      <c r="A32">
        <v>0.31</v>
      </c>
      <c r="B32">
        <v>0.24327257299881255</v>
      </c>
      <c r="C32">
        <v>2.3669255775954679E-2</v>
      </c>
      <c r="D32">
        <v>127.366753257017</v>
      </c>
      <c r="E32">
        <v>10.277998400184188</v>
      </c>
      <c r="F32">
        <v>159.77804746759736</v>
      </c>
      <c r="G32">
        <v>4.3383845277581372</v>
      </c>
      <c r="H32">
        <v>20.838284904753827</v>
      </c>
      <c r="I32">
        <v>1272.9948178485267</v>
      </c>
    </row>
    <row r="33" spans="1:9" x14ac:dyDescent="0.25">
      <c r="A33">
        <v>0.32</v>
      </c>
      <c r="B33">
        <v>0.22830560805845587</v>
      </c>
      <c r="C33">
        <v>2.323165394159836E-2</v>
      </c>
      <c r="D33">
        <v>133.20734559002003</v>
      </c>
      <c r="E33">
        <v>9.8273505895184758</v>
      </c>
      <c r="F33">
        <v>167.10490801132434</v>
      </c>
      <c r="G33">
        <v>4.1481642715236973</v>
      </c>
      <c r="H33">
        <v>20.567341538167565</v>
      </c>
      <c r="I33">
        <v>1256.4430957096254</v>
      </c>
    </row>
    <row r="34" spans="1:9" x14ac:dyDescent="0.25">
      <c r="A34">
        <v>0.33</v>
      </c>
      <c r="B34">
        <v>0.21467855156277213</v>
      </c>
      <c r="C34">
        <v>2.285738659106757E-2</v>
      </c>
      <c r="D34">
        <v>139.38066786805749</v>
      </c>
      <c r="E34">
        <v>9.3920864796794525</v>
      </c>
      <c r="F34">
        <v>174.849169011545</v>
      </c>
      <c r="G34">
        <v>3.964437537378632</v>
      </c>
      <c r="H34">
        <v>20.270653712153827</v>
      </c>
      <c r="I34">
        <v>1238.3186643199733</v>
      </c>
    </row>
    <row r="35" spans="1:9" x14ac:dyDescent="0.25">
      <c r="A35">
        <v>0.34</v>
      </c>
      <c r="B35">
        <v>0.2022361095604315</v>
      </c>
      <c r="C35">
        <v>2.2535765528628609E-2</v>
      </c>
      <c r="D35">
        <v>145.87411601975469</v>
      </c>
      <c r="E35">
        <v>8.9740066430633636</v>
      </c>
      <c r="F35">
        <v>182.99501901147895</v>
      </c>
      <c r="G35">
        <v>3.7879643541846764</v>
      </c>
      <c r="H35">
        <v>19.95524368769691</v>
      </c>
      <c r="I35">
        <v>1219.050508208933</v>
      </c>
    </row>
    <row r="36" spans="1:9" x14ac:dyDescent="0.25">
      <c r="A36">
        <v>0.35</v>
      </c>
      <c r="B36">
        <v>0.19084485114437458</v>
      </c>
      <c r="C36">
        <v>2.2258148946915746E-2</v>
      </c>
      <c r="D36">
        <v>152.67686043673513</v>
      </c>
      <c r="E36">
        <v>8.574156440390766</v>
      </c>
      <c r="F36">
        <v>191.52887256879532</v>
      </c>
      <c r="G36">
        <v>3.6191859729130211</v>
      </c>
      <c r="H36">
        <v>19.626876035499343</v>
      </c>
      <c r="I36">
        <v>1198.9907805726521</v>
      </c>
    </row>
    <row r="37" spans="1:9" x14ac:dyDescent="0.25">
      <c r="A37">
        <v>0.36</v>
      </c>
      <c r="B37">
        <v>0.18038961624371827</v>
      </c>
      <c r="C37">
        <v>2.201750564621047E-2</v>
      </c>
      <c r="D37">
        <v>159.77955442042824</v>
      </c>
      <c r="E37">
        <v>8.193008742330715</v>
      </c>
      <c r="F37">
        <v>200.43900451024697</v>
      </c>
      <c r="G37">
        <v>3.4583019941779471</v>
      </c>
      <c r="H37">
        <v>19.290240887456296</v>
      </c>
      <c r="I37">
        <v>1178.4259979658686</v>
      </c>
    </row>
    <row r="38" spans="1:9" x14ac:dyDescent="0.25">
      <c r="A38">
        <v>0.37</v>
      </c>
      <c r="B38">
        <v>0.17077059360983118</v>
      </c>
      <c r="C38">
        <v>2.1808080929794957E-2</v>
      </c>
      <c r="D38">
        <v>167.17409702362403</v>
      </c>
      <c r="E38">
        <v>7.830610779535327</v>
      </c>
      <c r="F38">
        <v>209.71525242300041</v>
      </c>
      <c r="G38">
        <v>3.305332354227974</v>
      </c>
      <c r="H38">
        <v>18.949122085536356</v>
      </c>
      <c r="I38">
        <v>1157.5873123878771</v>
      </c>
    </row>
    <row r="39" spans="1:9" x14ac:dyDescent="0.25">
      <c r="A39">
        <v>0.38</v>
      </c>
      <c r="B39">
        <v>0.1619009298143067</v>
      </c>
      <c r="C39">
        <v>2.1625138486633697E-2</v>
      </c>
      <c r="D39">
        <v>174.85343899037028</v>
      </c>
      <c r="E39">
        <v>7.4867002546307946</v>
      </c>
      <c r="F39">
        <v>219.34877321163759</v>
      </c>
      <c r="G39">
        <v>3.1601663362849988</v>
      </c>
      <c r="H39">
        <v>18.606546563825873</v>
      </c>
      <c r="I39">
        <v>1136.6596369168635</v>
      </c>
    </row>
    <row r="40" spans="1:9" x14ac:dyDescent="0.25">
      <c r="A40">
        <v>0.39</v>
      </c>
      <c r="B40">
        <v>0.15370476176979544</v>
      </c>
      <c r="C40">
        <v>2.1464759535023994E-2</v>
      </c>
      <c r="D40">
        <v>182.81142307011424</v>
      </c>
      <c r="E40">
        <v>7.160795885879633</v>
      </c>
      <c r="F40">
        <v>229.33184277669039</v>
      </c>
      <c r="G40">
        <v>3.0226007893888753</v>
      </c>
      <c r="H40">
        <v>18.26491407770639</v>
      </c>
      <c r="I40">
        <v>1115.7895707657094</v>
      </c>
    </row>
    <row r="41" spans="1:9" x14ac:dyDescent="0.25">
      <c r="A41">
        <v>0.4</v>
      </c>
      <c r="B41">
        <v>0.1461155891574118</v>
      </c>
      <c r="C41">
        <v>2.1323685454478689E-2</v>
      </c>
      <c r="D41">
        <v>191.04265191956932</v>
      </c>
      <c r="E41">
        <v>6.8522671406561484</v>
      </c>
      <c r="F41">
        <v>239.65769030120859</v>
      </c>
      <c r="G41">
        <v>2.8923695631783115</v>
      </c>
      <c r="H41">
        <v>17.926108022307687</v>
      </c>
      <c r="I41">
        <v>1095.0921690961579</v>
      </c>
    </row>
    <row r="42" spans="1:9" x14ac:dyDescent="0.25">
      <c r="A42">
        <v>0.41</v>
      </c>
      <c r="B42">
        <v>0.13907492126820872</v>
      </c>
      <c r="C42">
        <v>2.1199193690997025E-2</v>
      </c>
      <c r="D42">
        <v>199.54237827675902</v>
      </c>
      <c r="E42">
        <v>6.5603873097905474</v>
      </c>
      <c r="F42">
        <v>250.3203604771544</v>
      </c>
      <c r="G42">
        <v>2.7691659107853233</v>
      </c>
      <c r="H42">
        <v>17.59158894402448</v>
      </c>
      <c r="I42">
        <v>1074.6566555655388</v>
      </c>
    </row>
    <row r="43" spans="1:9" x14ac:dyDescent="0.25">
      <c r="A43">
        <v>0.42</v>
      </c>
      <c r="B43">
        <v>0.13253114662803794</v>
      </c>
      <c r="C43">
        <v>2.1088999299245636E-2</v>
      </c>
      <c r="D43">
        <v>208.30641321675529</v>
      </c>
      <c r="E43">
        <v>6.2843734189311986</v>
      </c>
      <c r="F43">
        <v>261.31459841477931</v>
      </c>
      <c r="G43">
        <v>2.6526593355820163</v>
      </c>
      <c r="H43">
        <v>17.262472721833632</v>
      </c>
      <c r="I43">
        <v>1054.5511983633839</v>
      </c>
    </row>
    <row r="44" spans="1:9" x14ac:dyDescent="0.25">
      <c r="A44">
        <v>0.43</v>
      </c>
      <c r="B44">
        <v>0.12643858445205999</v>
      </c>
      <c r="C44">
        <v>2.0991176369570923E-2</v>
      </c>
      <c r="D44">
        <v>217.33104916519574</v>
      </c>
      <c r="E44">
        <v>6.0234158498780932</v>
      </c>
      <c r="F44">
        <v>272.63575306522387</v>
      </c>
      <c r="G44">
        <v>2.54250809446477</v>
      </c>
      <c r="H44">
        <v>16.93959547178347</v>
      </c>
      <c r="I44">
        <v>1034.8268751768212</v>
      </c>
    </row>
    <row r="45" spans="1:9" x14ac:dyDescent="0.25">
      <c r="A45">
        <v>0.44</v>
      </c>
      <c r="B45">
        <v>0.12075668525405933</v>
      </c>
      <c r="C45">
        <v>2.0904094976079972E-2</v>
      </c>
      <c r="D45">
        <v>226.61299501760357</v>
      </c>
      <c r="E45">
        <v>5.7766999907069962</v>
      </c>
      <c r="F45">
        <v>284.27969582951022</v>
      </c>
      <c r="G45">
        <v>2.4383683364588467</v>
      </c>
      <c r="H45">
        <v>16.623567136578046</v>
      </c>
      <c r="I45">
        <v>1015.5209469371115</v>
      </c>
    </row>
    <row r="46" spans="1:9" x14ac:dyDescent="0.25">
      <c r="A46">
        <v>0.45</v>
      </c>
      <c r="B46">
        <v>0.11544935439597968</v>
      </c>
      <c r="C46">
        <v>2.082637031268781E-2</v>
      </c>
      <c r="D46">
        <v>236.14932123686276</v>
      </c>
      <c r="E46">
        <v>5.5434217610951535</v>
      </c>
      <c r="F46">
        <v>296.24275168485246</v>
      </c>
      <c r="G46">
        <v>2.339900656020923</v>
      </c>
      <c r="H46">
        <v>16.314815545081515</v>
      </c>
      <c r="I46">
        <v>996.65954938092841</v>
      </c>
    </row>
    <row r="47" spans="1:9" x14ac:dyDescent="0.25">
      <c r="A47">
        <v>0.46</v>
      </c>
      <c r="B47">
        <v>0.1104843774347159</v>
      </c>
      <c r="C47">
        <v>2.0756821454742478E-2</v>
      </c>
      <c r="D47">
        <v>245.9374132128309</v>
      </c>
      <c r="E47">
        <v>5.32279846775252</v>
      </c>
      <c r="F47">
        <v>308.52164067558903</v>
      </c>
      <c r="G47">
        <v>2.2467746751603332</v>
      </c>
      <c r="H47">
        <v>16.013622514793553</v>
      </c>
      <c r="I47">
        <v>978.25989852284863</v>
      </c>
    </row>
    <row r="48" spans="1:9" x14ac:dyDescent="0.25">
      <c r="A48">
        <v>0.47</v>
      </c>
      <c r="B48">
        <v>0.10583293012759569</v>
      </c>
      <c r="C48">
        <v>2.0694437764162337E-2</v>
      </c>
      <c r="D48">
        <v>255.97493149307704</v>
      </c>
      <c r="E48">
        <v>5.1140761268166575</v>
      </c>
      <c r="F48">
        <v>321.11342802374998</v>
      </c>
      <c r="G48">
        <v>2.1586721342514554</v>
      </c>
      <c r="H48">
        <v>15.720153353936388</v>
      </c>
      <c r="I48">
        <v>960.3320929151854</v>
      </c>
    </row>
    <row r="49" spans="1:9" x14ac:dyDescent="0.25">
      <c r="A49">
        <v>0.48</v>
      </c>
      <c r="B49">
        <v>0.10146915913709154</v>
      </c>
      <c r="C49">
        <v>2.0638351395871283E-2</v>
      </c>
      <c r="D49">
        <v>266.2597777517575</v>
      </c>
      <c r="E49">
        <v>4.916534135444099</v>
      </c>
      <c r="F49">
        <v>334.01548143795878</v>
      </c>
      <c r="G49">
        <v>2.0752888639312466</v>
      </c>
      <c r="H49">
        <v>15.434480915271724</v>
      </c>
      <c r="I49">
        <v>942.88058307718984</v>
      </c>
    </row>
    <row r="50" spans="1:9" x14ac:dyDescent="0.25">
      <c r="A50">
        <v>0.49</v>
      </c>
      <c r="B50">
        <v>9.7369822012436005E-2</v>
      </c>
      <c r="C50">
        <v>2.0587814698801474E-2</v>
      </c>
      <c r="D50">
        <v>276.79006556956273</v>
      </c>
      <c r="E50">
        <v>4.7294879731992348</v>
      </c>
      <c r="F50">
        <v>347.22543445768889</v>
      </c>
      <c r="G50">
        <v>1.9963359253663679</v>
      </c>
      <c r="H50">
        <v>15.156605169194968</v>
      </c>
      <c r="I50">
        <v>925.90536720033947</v>
      </c>
    </row>
    <row r="51" spans="1:9" x14ac:dyDescent="0.25">
      <c r="A51">
        <v>0.5</v>
      </c>
      <c r="B51">
        <v>9.3513977060743533E-2</v>
      </c>
      <c r="C51">
        <v>2.0542181562154472E-2</v>
      </c>
      <c r="D51">
        <v>287.5640952628313</v>
      </c>
      <c r="E51">
        <v>4.552290455509719</v>
      </c>
      <c r="F51">
        <v>360.74115487708747</v>
      </c>
      <c r="G51">
        <v>1.9215401393417695</v>
      </c>
      <c r="H51">
        <v>14.886469101993686</v>
      </c>
      <c r="I51">
        <v>909.40296236073789</v>
      </c>
    </row>
    <row r="52" spans="1:9" x14ac:dyDescent="0.25">
      <c r="A52">
        <v>0.51</v>
      </c>
      <c r="B52">
        <v>8.9882715360191795E-2</v>
      </c>
      <c r="C52">
        <v>2.0500891956272319E-2</v>
      </c>
      <c r="D52">
        <v>298.58033213302389</v>
      </c>
      <c r="E52">
        <v>4.3843319379424299</v>
      </c>
      <c r="F52">
        <v>374.5607174595462</v>
      </c>
      <c r="G52">
        <v>1.8506441724863882</v>
      </c>
      <c r="H52">
        <v>14.623971606431963</v>
      </c>
      <c r="I52">
        <v>893.36719199500783</v>
      </c>
    </row>
    <row r="53" spans="1:9" x14ac:dyDescent="0.25">
      <c r="A53">
        <v>0.52</v>
      </c>
      <c r="B53">
        <v>8.6458928495509943E-2</v>
      </c>
      <c r="C53">
        <v>2.0463459071628685E-2</v>
      </c>
      <c r="D53">
        <v>309.83738761551609</v>
      </c>
      <c r="E53">
        <v>4.2250397742080601</v>
      </c>
      <c r="F53">
        <v>388.68238028938617</v>
      </c>
      <c r="G53">
        <v>1.7834063084947067</v>
      </c>
      <c r="H53">
        <v>14.368977914493863</v>
      </c>
      <c r="I53">
        <v>877.7898232285786</v>
      </c>
    </row>
    <row r="54" spans="1:9" x14ac:dyDescent="0.25">
      <c r="A54">
        <v>0.53</v>
      </c>
      <c r="B54">
        <v>8.3227106675635043E-2</v>
      </c>
      <c r="C54">
        <v>2.0429458579707047E-2</v>
      </c>
      <c r="D54">
        <v>321.33400289428914</v>
      </c>
      <c r="E54">
        <v>4.0738772567524641</v>
      </c>
      <c r="F54">
        <v>403.10456421694346</v>
      </c>
      <c r="G54">
        <v>1.7196000009460914</v>
      </c>
      <c r="H54">
        <v>14.1213280239255</v>
      </c>
      <c r="I54">
        <v>862.6610816466665</v>
      </c>
    </row>
    <row r="55" spans="1:9" x14ac:dyDescent="0.25">
      <c r="A55">
        <v>0.54</v>
      </c>
      <c r="B55">
        <v>8.0173162774985873E-2</v>
      </c>
      <c r="C55">
        <v>2.0398519633819352E-2</v>
      </c>
      <c r="D55">
        <v>333.06903462064992</v>
      </c>
      <c r="E55">
        <v>3.930342211797774</v>
      </c>
      <c r="F55">
        <v>417.82583494310086</v>
      </c>
      <c r="G55">
        <v>1.6590132802659892</v>
      </c>
      <c r="H55">
        <v>13.880843488667262</v>
      </c>
      <c r="I55">
        <v>847.97006611656332</v>
      </c>
    </row>
    <row r="56" spans="1:9" x14ac:dyDescent="0.25">
      <c r="A56">
        <v>0.55000000000000004</v>
      </c>
      <c r="B56">
        <v>7.7284278562597952E-2</v>
      </c>
      <c r="C56">
        <v>2.0370317302202356E-2</v>
      </c>
      <c r="D56">
        <v>345.04144243277779</v>
      </c>
      <c r="E56">
        <v>3.7939653769773281</v>
      </c>
      <c r="F56">
        <v>432.84488736290655</v>
      </c>
      <c r="G56">
        <v>1.6014480689190944</v>
      </c>
      <c r="H56">
        <v>13.647332875927225</v>
      </c>
      <c r="I56">
        <v>833.70508215606071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50A58-21D8-4B80-A5A1-70341C2023AF}">
  <dimension ref="A1"/>
  <sheetViews>
    <sheetView workbookViewId="0">
      <selection activeCell="D39" sqref="D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36B0B-55B9-4161-87C2-FA743B7E0C62}">
  <dimension ref="A1"/>
  <sheetViews>
    <sheetView tabSelected="1" workbookViewId="0">
      <selection activeCell="G36" sqref="G36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32</vt:i4>
      </vt:variant>
    </vt:vector>
  </HeadingPairs>
  <TitlesOfParts>
    <vt:vector size="40" baseType="lpstr">
      <vt:lpstr>Altitude Table</vt:lpstr>
      <vt:lpstr>Bede BD-5J Stats</vt:lpstr>
      <vt:lpstr>HW10 - Min and Max Velocity</vt:lpstr>
      <vt:lpstr>Numbers</vt:lpstr>
      <vt:lpstr>Numbers (SL)</vt:lpstr>
      <vt:lpstr>Numbers (10K)</vt:lpstr>
      <vt:lpstr>Chart C SL</vt:lpstr>
      <vt:lpstr>Chart C 10K</vt:lpstr>
      <vt:lpstr>'Chart C 10K'!atmos_aspeed</vt:lpstr>
      <vt:lpstr>atmos_aspeed</vt:lpstr>
      <vt:lpstr>'Chart C 10K'!atmos_dr</vt:lpstr>
      <vt:lpstr>atmos_dr</vt:lpstr>
      <vt:lpstr>'Chart C 10K'!atmos_h</vt:lpstr>
      <vt:lpstr>atmos_h</vt:lpstr>
      <vt:lpstr>'Chart C 10K'!atmos_qms</vt:lpstr>
      <vt:lpstr>atmos_qms</vt:lpstr>
      <vt:lpstr>'Chart C 10K'!atmos_rho</vt:lpstr>
      <vt:lpstr>atmos_rho</vt:lpstr>
      <vt:lpstr>'Chart C 10K'!atmos_sqrtdr</vt:lpstr>
      <vt:lpstr>atmos_sqrtdr</vt:lpstr>
      <vt:lpstr>'Chart C 10K'!atmos_vela</vt:lpstr>
      <vt:lpstr>atmos_vela</vt:lpstr>
      <vt:lpstr>ceiling</vt:lpstr>
      <vt:lpstr>clflight</vt:lpstr>
      <vt:lpstr>cllanding</vt:lpstr>
      <vt:lpstr>cltakeoff</vt:lpstr>
      <vt:lpstr>fuelmass</vt:lpstr>
      <vt:lpstr>fuelvol</vt:lpstr>
      <vt:lpstr>g</vt:lpstr>
      <vt:lpstr>maxkeas</vt:lpstr>
      <vt:lpstr>maxload</vt:lpstr>
      <vt:lpstr>maxmach</vt:lpstr>
      <vt:lpstr>maxmph</vt:lpstr>
      <vt:lpstr>maxweight</vt:lpstr>
      <vt:lpstr>minload</vt:lpstr>
      <vt:lpstr>perfweight</vt:lpstr>
      <vt:lpstr>sfcsl</vt:lpstr>
      <vt:lpstr>tsl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2024-02-12T00:32:04Z</dcterms:modified>
</cp:coreProperties>
</file>