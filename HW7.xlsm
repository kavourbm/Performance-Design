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5B7FDAAE-2E4C-4B12-9C6B-CEF83F5E5A4C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Altitude Table" sheetId="2" r:id="rId1"/>
    <sheet name="Sheet1" sheetId="1" r:id="rId2"/>
    <sheet name="Chart A" sheetId="3" r:id="rId3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ExternalData_1" localSheetId="0" hidden="1">'Altitude Table'!$A$1:$O$62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 a="1"/>
  <c r="M15" i="1" a="1"/>
  <c r="M10" i="1" a="1"/>
  <c r="M22" i="1" a="1"/>
  <c r="M4" i="1" a="1"/>
  <c r="M23" i="1" a="1"/>
  <c r="M5" i="1" a="1"/>
  <c r="M11" i="1" a="1"/>
  <c r="M17" i="1" a="1"/>
  <c r="M25" i="1" a="1"/>
  <c r="M20" i="1" a="1"/>
  <c r="M6" i="1" a="1"/>
  <c r="M18" i="1" a="1"/>
  <c r="M24" i="1" a="1"/>
  <c r="M19" i="1" a="1"/>
  <c r="M14" i="1" a="1"/>
  <c r="M12" i="1" a="1"/>
  <c r="M13" i="1" a="1"/>
  <c r="M7" i="1" a="1"/>
  <c r="M8" i="1" a="1"/>
  <c r="M9" i="1" a="1"/>
  <c r="M21" i="1" a="1"/>
  <c r="M16" i="1" a="1"/>
  <c r="M26" i="1" a="1"/>
  <c r="M2" i="1" a="1"/>
  <c r="L3" i="1" a="1"/>
  <c r="L9" i="1" a="1"/>
  <c r="L15" i="1" a="1"/>
  <c r="L21" i="1" a="1"/>
  <c r="L22" i="1" a="1"/>
  <c r="L16" i="1" a="1"/>
  <c r="L4" i="1" a="1"/>
  <c r="L25" i="1" a="1"/>
  <c r="L5" i="1" a="1"/>
  <c r="L11" i="1" a="1"/>
  <c r="L17" i="1" a="1"/>
  <c r="L23" i="1" a="1"/>
  <c r="L19" i="1" a="1"/>
  <c r="L20" i="1" a="1"/>
  <c r="L6" i="1" a="1"/>
  <c r="L18" i="1" a="1"/>
  <c r="L24" i="1" a="1"/>
  <c r="L14" i="1" a="1"/>
  <c r="L12" i="1" a="1"/>
  <c r="L8" i="1" a="1"/>
  <c r="L7" i="1" a="1"/>
  <c r="L13" i="1" a="1"/>
  <c r="L26" i="1" a="1"/>
  <c r="L10" i="1" a="1"/>
  <c r="L2" i="1" a="1"/>
  <c r="J3" i="1" a="1"/>
  <c r="J21" i="1" a="1"/>
  <c r="J4" i="1" a="1"/>
  <c r="J22" i="1" a="1"/>
  <c r="J10" i="1" a="1"/>
  <c r="J5" i="1" a="1"/>
  <c r="J17" i="1" a="1"/>
  <c r="J23" i="1" a="1"/>
  <c r="J19" i="1" a="1"/>
  <c r="J26" i="1" a="1"/>
  <c r="J11" i="1" a="1"/>
  <c r="J12" i="1" a="1"/>
  <c r="J18" i="1" a="1"/>
  <c r="J24" i="1" a="1"/>
  <c r="J20" i="1" a="1"/>
  <c r="J6" i="1" a="1"/>
  <c r="J25" i="1" a="1"/>
  <c r="J13" i="1" a="1"/>
  <c r="J7" i="1" a="1"/>
  <c r="J8" i="1" a="1"/>
  <c r="J9" i="1" a="1"/>
  <c r="J15" i="1" a="1"/>
  <c r="J16" i="1" a="1"/>
  <c r="J14" i="1" a="1"/>
  <c r="J2" i="1" a="1"/>
  <c r="I22" i="1" a="1"/>
  <c r="I10" i="1" a="1"/>
  <c r="I5" i="1" a="1"/>
  <c r="I11" i="1" a="1"/>
  <c r="I17" i="1" a="1"/>
  <c r="I23" i="1" a="1"/>
  <c r="I12" i="1" a="1"/>
  <c r="I18" i="1" a="1"/>
  <c r="I19" i="1" a="1"/>
  <c r="I8" i="1" a="1"/>
  <c r="I26" i="1" a="1"/>
  <c r="I13" i="1" a="1"/>
  <c r="I6" i="1" a="1"/>
  <c r="I24" i="1" a="1"/>
  <c r="I14" i="1" a="1"/>
  <c r="I7" i="1" a="1"/>
  <c r="I25" i="1" a="1"/>
  <c r="I3" i="1" a="1"/>
  <c r="I9" i="1" a="1"/>
  <c r="I15" i="1" a="1"/>
  <c r="I21" i="1" a="1"/>
  <c r="I4" i="1" a="1"/>
  <c r="I16" i="1" a="1"/>
  <c r="I20" i="1" a="1"/>
  <c r="I2" i="1" a="1"/>
  <c r="F3" i="1" a="1"/>
  <c r="F15" i="1" a="1"/>
  <c r="F21" i="1" a="1"/>
  <c r="F22" i="1" a="1"/>
  <c r="F26" i="1" a="1"/>
  <c r="F10" i="1" a="1"/>
  <c r="F4" i="1" a="1"/>
  <c r="F16" i="1" a="1"/>
  <c r="F14" i="1" a="1"/>
  <c r="F11" i="1" a="1"/>
  <c r="F5" i="1" a="1"/>
  <c r="F17" i="1" a="1"/>
  <c r="F8" i="1" a="1"/>
  <c r="F6" i="1" a="1"/>
  <c r="F18" i="1" a="1"/>
  <c r="F24" i="1" a="1"/>
  <c r="F13" i="1" a="1"/>
  <c r="F12" i="1" a="1"/>
  <c r="F19" i="1" a="1"/>
  <c r="F20" i="1" a="1"/>
  <c r="F25" i="1" a="1"/>
  <c r="F7" i="1" a="1"/>
  <c r="F9" i="1" a="1"/>
  <c r="F27" i="1" a="1"/>
  <c r="F23" i="1" a="1"/>
  <c r="F2" i="1" a="1"/>
  <c r="C3" i="1" a="1"/>
  <c r="C9" i="1" a="1"/>
  <c r="C15" i="1" a="1"/>
  <c r="C27" i="1" a="1"/>
  <c r="C22" i="1" a="1"/>
  <c r="C14" i="1" a="1"/>
  <c r="C10" i="1" a="1"/>
  <c r="C4" i="1" a="1"/>
  <c r="C16" i="1" a="1"/>
  <c r="C26" i="1" a="1"/>
  <c r="C24" i="1" a="1"/>
  <c r="C5" i="1" a="1"/>
  <c r="C11" i="1" a="1"/>
  <c r="C17" i="1" a="1"/>
  <c r="C23" i="1" a="1"/>
  <c r="C19" i="1" a="1"/>
  <c r="C12" i="1" a="1"/>
  <c r="C18" i="1" a="1"/>
  <c r="C20" i="1" a="1"/>
  <c r="C6" i="1" a="1"/>
  <c r="C13" i="1" a="1"/>
  <c r="C25" i="1" a="1"/>
  <c r="C7" i="1" a="1"/>
  <c r="C8" i="1" a="1"/>
  <c r="C21" i="1" a="1"/>
  <c r="C2" i="1" a="1"/>
  <c r="M26" i="1" l="1"/>
  <c r="M16" i="1"/>
  <c r="M21" i="1"/>
  <c r="M9" i="1"/>
  <c r="M8" i="1"/>
  <c r="M7" i="1"/>
  <c r="M13" i="1"/>
  <c r="M12" i="1"/>
  <c r="M14" i="1"/>
  <c r="M19" i="1"/>
  <c r="M24" i="1"/>
  <c r="M18" i="1"/>
  <c r="M6" i="1"/>
  <c r="M20" i="1"/>
  <c r="M25" i="1"/>
  <c r="M17" i="1"/>
  <c r="M11" i="1"/>
  <c r="M5" i="1"/>
  <c r="M23" i="1"/>
  <c r="M4" i="1"/>
  <c r="M22" i="1"/>
  <c r="M10" i="1"/>
  <c r="M15" i="1"/>
  <c r="M3" i="1"/>
  <c r="M2" i="1"/>
  <c r="L10" i="1"/>
  <c r="L26" i="1"/>
  <c r="L13" i="1"/>
  <c r="L7" i="1"/>
  <c r="L8" i="1"/>
  <c r="L12" i="1"/>
  <c r="L14" i="1"/>
  <c r="L24" i="1"/>
  <c r="L18" i="1"/>
  <c r="L6" i="1"/>
  <c r="L20" i="1"/>
  <c r="L19" i="1"/>
  <c r="L23" i="1"/>
  <c r="L17" i="1"/>
  <c r="L11" i="1"/>
  <c r="L5" i="1"/>
  <c r="L25" i="1"/>
  <c r="L4" i="1"/>
  <c r="L16" i="1"/>
  <c r="L22" i="1"/>
  <c r="L21" i="1"/>
  <c r="L15" i="1"/>
  <c r="L9" i="1"/>
  <c r="L3" i="1"/>
  <c r="L2" i="1"/>
  <c r="J14" i="1"/>
  <c r="J16" i="1"/>
  <c r="J15" i="1"/>
  <c r="J9" i="1"/>
  <c r="J8" i="1"/>
  <c r="J7" i="1"/>
  <c r="J13" i="1"/>
  <c r="J25" i="1"/>
  <c r="J6" i="1"/>
  <c r="J20" i="1"/>
  <c r="J24" i="1"/>
  <c r="J18" i="1"/>
  <c r="J12" i="1"/>
  <c r="J11" i="1"/>
  <c r="J26" i="1"/>
  <c r="J19" i="1"/>
  <c r="J23" i="1"/>
  <c r="J17" i="1"/>
  <c r="J5" i="1"/>
  <c r="J10" i="1"/>
  <c r="J22" i="1"/>
  <c r="J4" i="1"/>
  <c r="J21" i="1"/>
  <c r="J3" i="1"/>
  <c r="J2" i="1"/>
  <c r="I20" i="1"/>
  <c r="I16" i="1"/>
  <c r="I4" i="1"/>
  <c r="I21" i="1"/>
  <c r="I15" i="1"/>
  <c r="I9" i="1"/>
  <c r="I3" i="1"/>
  <c r="I25" i="1"/>
  <c r="I7" i="1"/>
  <c r="I14" i="1"/>
  <c r="I24" i="1"/>
  <c r="I6" i="1"/>
  <c r="I13" i="1"/>
  <c r="I26" i="1"/>
  <c r="I8" i="1"/>
  <c r="I19" i="1"/>
  <c r="I18" i="1"/>
  <c r="I12" i="1"/>
  <c r="I23" i="1"/>
  <c r="I17" i="1"/>
  <c r="I11" i="1"/>
  <c r="I5" i="1"/>
  <c r="I10" i="1"/>
  <c r="I22" i="1"/>
  <c r="I2" i="1"/>
  <c r="F23" i="1"/>
  <c r="F27" i="1"/>
  <c r="F9" i="1"/>
  <c r="F7" i="1"/>
  <c r="F25" i="1"/>
  <c r="F20" i="1"/>
  <c r="F19" i="1"/>
  <c r="F12" i="1"/>
  <c r="F13" i="1"/>
  <c r="F24" i="1"/>
  <c r="F18" i="1"/>
  <c r="F6" i="1"/>
  <c r="F8" i="1"/>
  <c r="F17" i="1"/>
  <c r="F5" i="1"/>
  <c r="F11" i="1"/>
  <c r="F14" i="1"/>
  <c r="F16" i="1"/>
  <c r="F4" i="1"/>
  <c r="F10" i="1"/>
  <c r="F26" i="1"/>
  <c r="F22" i="1"/>
  <c r="F21" i="1"/>
  <c r="F15" i="1"/>
  <c r="F3" i="1"/>
  <c r="F2" i="1"/>
  <c r="C21" i="1"/>
  <c r="C8" i="1"/>
  <c r="C7" i="1"/>
  <c r="C25" i="1"/>
  <c r="C13" i="1"/>
  <c r="C6" i="1"/>
  <c r="C20" i="1"/>
  <c r="C18" i="1"/>
  <c r="C12" i="1"/>
  <c r="C19" i="1"/>
  <c r="C23" i="1"/>
  <c r="C17" i="1"/>
  <c r="C11" i="1"/>
  <c r="C5" i="1"/>
  <c r="C24" i="1"/>
  <c r="C26" i="1"/>
  <c r="C16" i="1"/>
  <c r="C4" i="1"/>
  <c r="C10" i="1"/>
  <c r="C14" i="1"/>
  <c r="C22" i="1"/>
  <c r="C27" i="1"/>
  <c r="C15" i="1"/>
  <c r="C9" i="1"/>
  <c r="C3" i="1"/>
  <c r="C2" i="1"/>
  <c r="B21" i="1" a="1"/>
  <c r="B11" i="1" a="1"/>
  <c r="B3" i="1" a="1"/>
  <c r="B8" i="1" a="1"/>
  <c r="B5" i="1" a="1"/>
  <c r="B2" i="1" a="1"/>
  <c r="B7" i="1" a="1"/>
  <c r="B24" i="1" a="1"/>
  <c r="B25" i="1" a="1"/>
  <c r="B26" i="1" a="1"/>
  <c r="B13" i="1" a="1"/>
  <c r="B16" i="1" a="1"/>
  <c r="B6" i="1" a="1"/>
  <c r="B4" i="1" a="1"/>
  <c r="B22" i="1" a="1"/>
  <c r="B23" i="1" a="1"/>
  <c r="B9" i="1" a="1"/>
  <c r="B19" i="1" a="1"/>
  <c r="B20" i="1" a="1"/>
  <c r="B10" i="1" a="1"/>
  <c r="B18" i="1" a="1"/>
  <c r="B14" i="1" a="1"/>
  <c r="B12" i="1" a="1"/>
  <c r="B27" i="1" a="1"/>
  <c r="B15" i="1" a="1"/>
  <c r="B17" i="1" a="1"/>
  <c r="B17" i="1" l="1"/>
  <c r="B15" i="1"/>
  <c r="B27" i="1"/>
  <c r="B12" i="1"/>
  <c r="B14" i="1"/>
  <c r="B18" i="1"/>
  <c r="B10" i="1"/>
  <c r="B20" i="1"/>
  <c r="B19" i="1"/>
  <c r="B9" i="1"/>
  <c r="B23" i="1"/>
  <c r="B22" i="1"/>
  <c r="B4" i="1"/>
  <c r="B6" i="1"/>
  <c r="B16" i="1"/>
  <c r="B13" i="1"/>
  <c r="B26" i="1"/>
  <c r="B25" i="1"/>
  <c r="B24" i="1"/>
  <c r="B7" i="1"/>
  <c r="B2" i="1"/>
  <c r="B5" i="1"/>
  <c r="B8" i="1"/>
  <c r="B3" i="1"/>
  <c r="B11" i="1"/>
  <c r="B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<sst xmlns="http://schemas.openxmlformats.org/spreadsheetml/2006/main" count="28" uniqueCount="27">
  <si>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</si>
  <si>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</si>
  <si>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</si>
  <si>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</si>
  <si>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</si>
  <si>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</si>
  <si>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</si>
  <si>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</si>
  <si>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</si>
  <si>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</si>
  <si>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</si>
  <si>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</si>
  <si>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</si>
  <si>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</si>
  <si>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</si>
  <si>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Altitude</t>
  </si>
  <si>
    <t>Min Speed</t>
  </si>
  <si>
    <t>Max Speed</t>
  </si>
  <si>
    <t>Min Mach</t>
  </si>
  <si>
    <t>Max Mach</t>
  </si>
  <si>
    <t>Mach Number</t>
  </si>
  <si>
    <t>Load Factor</t>
  </si>
  <si>
    <t>Sea Level</t>
  </si>
  <si>
    <t>10k</t>
  </si>
  <si>
    <t>A Max Mach</t>
  </si>
  <si>
    <t>Max Load Factor</t>
  </si>
  <si>
    <t>Min Load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</si>
</sst>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8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Performance</a:t>
            </a:r>
            <a:r>
              <a:rPr lang="en-US" baseline="0"/>
              <a:t> Envelope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Min Mach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Sheet1!$B$2:$B$27</c:f>
              <c:numCache>
                <c:formatCode>0.000</c:formatCode>
                <c:ptCount val="26"/>
                <c:pt idx="0">
                  <c:v>0.18755142528216351</c:v>
                </c:pt>
                <c:pt idx="1">
                  <c:v>0.19096724391526404</c:v>
                </c:pt>
                <c:pt idx="2">
                  <c:v>0.19452253468039196</c:v>
                </c:pt>
                <c:pt idx="3">
                  <c:v>0.1982299378056146</c:v>
                </c:pt>
                <c:pt idx="4">
                  <c:v>0.20186206305754456</c:v>
                </c:pt>
                <c:pt idx="5">
                  <c:v>0.20575455219646302</c:v>
                </c:pt>
                <c:pt idx="6">
                  <c:v>0.20970886270724301</c:v>
                </c:pt>
                <c:pt idx="7">
                  <c:v>0.21363275066058918</c:v>
                </c:pt>
                <c:pt idx="8">
                  <c:v>0.21785213238320925</c:v>
                </c:pt>
                <c:pt idx="9">
                  <c:v>0.22211822308066881</c:v>
                </c:pt>
                <c:pt idx="10">
                  <c:v>0.22644235440818719</c:v>
                </c:pt>
                <c:pt idx="11">
                  <c:v>0.23093627869740244</c:v>
                </c:pt>
                <c:pt idx="12">
                  <c:v>0.2356323026465191</c:v>
                </c:pt>
                <c:pt idx="13">
                  <c:v>0.24026207229539931</c:v>
                </c:pt>
                <c:pt idx="14">
                  <c:v>0.24514717654908955</c:v>
                </c:pt>
                <c:pt idx="15">
                  <c:v>0.25023041010656999</c:v>
                </c:pt>
                <c:pt idx="16">
                  <c:v>0.25525165837884456</c:v>
                </c:pt>
                <c:pt idx="17">
                  <c:v>0.26066539687425744</c:v>
                </c:pt>
                <c:pt idx="18">
                  <c:v>0.26613459622757307</c:v>
                </c:pt>
                <c:pt idx="19">
                  <c:v>0.27166689274351447</c:v>
                </c:pt>
                <c:pt idx="20">
                  <c:v>0.27745876024438726</c:v>
                </c:pt>
                <c:pt idx="21">
                  <c:v>0.28344149088811599</c:v>
                </c:pt>
                <c:pt idx="22">
                  <c:v>0.28950769636009005</c:v>
                </c:pt>
                <c:pt idx="23">
                  <c:v>0.29582031296031996</c:v>
                </c:pt>
                <c:pt idx="24">
                  <c:v>0.30224537619114528</c:v>
                </c:pt>
                <c:pt idx="25">
                  <c:v>0.30897708950435793</c:v>
                </c:pt>
              </c:numCache>
            </c:numRef>
          </c:xVal>
          <c:yVal>
            <c:numRef>
              <c:f>Sheet1!$A$2:$A$27</c:f>
              <c:numCache>
                <c:formatCode>General</c:formatCode>
                <c:ptCount val="26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BA65-4C03-9A18-2A14A761E051}"/>
            </c:ext>
          </c:extLst>
        </c:ser>
        <c:ser>
          <c:idx val="1"/>
          <c:order val="1"/>
          <c:tx>
            <c:v>Max Mach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Sheet1!$F$2:$F$27</c:f>
              <c:numCache>
                <c:formatCode>0.000</c:formatCode>
                <c:ptCount val="26"/>
                <c:pt idx="0">
                  <c:v>0.45513160889023746</c:v>
                </c:pt>
                <c:pt idx="1">
                  <c:v>0.45668356395853316</c:v>
                </c:pt>
                <c:pt idx="2">
                  <c:v>0.45829514207149402</c:v>
                </c:pt>
                <c:pt idx="3">
                  <c:v>0.45993223665046684</c:v>
                </c:pt>
                <c:pt idx="4">
                  <c:v>0.46153136105598375</c:v>
                </c:pt>
                <c:pt idx="5">
                  <c:v>0.4631988512668489</c:v>
                </c:pt>
                <c:pt idx="6">
                  <c:v>0.46489284219987298</c:v>
                </c:pt>
                <c:pt idx="7">
                  <c:v>0.46654121891669131</c:v>
                </c:pt>
                <c:pt idx="8">
                  <c:v>0.46826709955358536</c:v>
                </c:pt>
                <c:pt idx="9">
                  <c:v>0.47000579673815979</c:v>
                </c:pt>
                <c:pt idx="10">
                  <c:v>0.47172036416812113</c:v>
                </c:pt>
                <c:pt idx="11">
                  <c:v>0.47349979481675553</c:v>
                </c:pt>
                <c:pt idx="12">
                  <c:v>0.47530023131277926</c:v>
                </c:pt>
                <c:pt idx="13">
                  <c:v>0.477076475359</c:v>
                </c:pt>
                <c:pt idx="14">
                  <c:v>0.47891191213562789</c:v>
                </c:pt>
                <c:pt idx="15">
                  <c:v>0.48077693552781292</c:v>
                </c:pt>
                <c:pt idx="16">
                  <c:v>0.48260995463466427</c:v>
                </c:pt>
                <c:pt idx="17">
                  <c:v>0.48451959881777223</c:v>
                </c:pt>
                <c:pt idx="18">
                  <c:v>0.48645230335165635</c:v>
                </c:pt>
                <c:pt idx="19">
                  <c:v>0.48835278605264448</c:v>
                </c:pt>
                <c:pt idx="20">
                  <c:v>0.49032426778242677</c:v>
                </c:pt>
                <c:pt idx="21">
                  <c:v>0.49232789037498975</c:v>
                </c:pt>
                <c:pt idx="22">
                  <c:v>0.49429908389903121</c:v>
                </c:pt>
                <c:pt idx="23">
                  <c:v>0.49634360213096856</c:v>
                </c:pt>
                <c:pt idx="24">
                  <c:v>0.49836370583251655</c:v>
                </c:pt>
                <c:pt idx="25">
                  <c:v>0.50046710262912042</c:v>
                </c:pt>
              </c:numCache>
            </c:numRef>
          </c:xVal>
          <c:yVal>
            <c:numRef>
              <c:f>Sheet1!$A$2:$A$27</c:f>
              <c:numCache>
                <c:formatCode>General</c:formatCode>
                <c:ptCount val="26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BA65-4C03-9A18-2A14A761E051}"/>
            </c:ext>
          </c:extLst>
        </c:ser>
        <c:ser>
          <c:idx val="2"/>
          <c:order val="2"/>
          <c:tx>
            <c:v>Max Altitude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(Sheet1!$B$27,Sheet1!$F$27)</c:f>
              <c:numCache>
                <c:formatCode>0.000</c:formatCode>
                <c:ptCount val="2"/>
                <c:pt idx="0">
                  <c:v>0.30897708950435793</c:v>
                </c:pt>
                <c:pt idx="1">
                  <c:v>0.50046710262912042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26000</c:v>
              </c:pt>
              <c:pt idx="1">
                <c:v>26000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A65-4C03-9A18-2A14A761E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345535"/>
        <c:axId val="700799871"/>
      </c:scatterChart>
      <c:valAx>
        <c:axId val="58934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  <a:r>
                  <a:rPr lang="en-US" baseline="0"/>
                  <a:t>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799871"/>
        <c:crosses val="autoZero"/>
        <c:crossBetween val="midCat"/>
        <c:majorUnit val="5.000000000000001E-2"/>
      </c:valAx>
      <c:valAx>
        <c:axId val="70079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45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361950</xdr:colOff>
      <xdr:row>34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D56B88-5091-3561-8ED1-1A020E14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J1" workbookViewId="0">
      <selection activeCell="M13" sqref="M13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7"/>
  <sheetViews>
    <sheetView workbookViewId="0">
      <selection activeCell="M29" sqref="M29"/>
    </sheetView>
  </sheetViews>
  <sheetFormatPr defaultRowHeight="15" x14ac:dyDescent="0.25"/>
  <cols>
    <col min="1" max="1" width="8.28515625" bestFit="1" customWidth="1"/>
    <col min="2" max="2" width="9.5703125" bestFit="1" customWidth="1"/>
    <col min="3" max="3" width="10.42578125" bestFit="1" customWidth="1"/>
    <col min="4" max="4" width="9.85546875" bestFit="1" customWidth="1"/>
    <col min="5" max="5" width="10.7109375" bestFit="1" customWidth="1"/>
    <col min="6" max="6" width="11.5703125" customWidth="1"/>
    <col min="8" max="8" width="13.5703125" bestFit="1" customWidth="1"/>
    <col min="9" max="9" width="15.28515625" bestFit="1" customWidth="1"/>
    <col min="10" max="10" width="15" bestFit="1" customWidth="1"/>
    <col min="12" max="12" width="13.5703125" bestFit="1" customWidth="1"/>
    <col min="13" max="13" width="11" bestFit="1" customWidth="1"/>
  </cols>
  <sheetData>
    <row r="1" spans="1:13" x14ac:dyDescent="0.25">
      <c r="A1" t="s">
        <v>15</v>
      </c>
      <c r="B1" t="s">
        <v>18</v>
      </c>
      <c r="C1" t="s">
        <v>16</v>
      </c>
      <c r="D1" t="s">
        <v>19</v>
      </c>
      <c r="E1" t="s">
        <v>17</v>
      </c>
      <c r="F1" t="s">
        <v>24</v>
      </c>
      <c r="G1" t="s">
        <v>22</v>
      </c>
      <c r="H1" t="s">
        <v>20</v>
      </c>
      <c r="I1" t="s">
        <v>25</v>
      </c>
      <c r="J1" t="s">
        <v>26</v>
      </c>
      <c r="K1" t="s">
        <v>23</v>
      </c>
      <c r="L1" t="s">
        <v>20</v>
      </c>
      <c r="M1" t="s">
        <v>21</v>
      </c>
    </row>
    <row r="2" spans="1:13" x14ac:dyDescent="0.25">
      <c r="A2">
        <v>1000</v>
      </c>
      <c r="B2" s="1" cm="1">
        <f t="array" ref="B2">C2/linterp(A2,atmos_h,atmos_vela)</f>
        <v>0.18755142528216351</v>
      </c>
      <c r="C2" s="2" cm="1">
        <f t="array" ref="C2">SQRT((2/linterp(A2,atmos_h,atmos_rho))*(900/37.8)*(1/1.35))</f>
        <v>123.62452197473807</v>
      </c>
      <c r="D2">
        <v>0.55000000000000004</v>
      </c>
      <c r="E2">
        <v>300</v>
      </c>
      <c r="F2" s="1" cm="1">
        <f t="array" ref="F2">IF(E2/linterp(A2,atmos_h,atmos_vela)&gt;D2,D2,E2/linterp(A2,atmos_h,atmos_vela))</f>
        <v>0.45513160889023746</v>
      </c>
      <c r="H2">
        <v>0</v>
      </c>
      <c r="I2" cm="1">
        <f t="array" ref="I2">IF((1.35*0.5*linterp(0,atmos_h,atmos_rho)*((H2*linterp(0,atmos_h,atmos_vela))^2)*37.8)/900&gt;6,6,(1.35*0.5*linterp(0,atmos_h,atmos_rho)*((H2*linterp(0,atmos_h,atmos_vela))^2)*37.8)/900)</f>
        <v>0</v>
      </c>
      <c r="J2" cm="1">
        <f t="array" ref="J2">IF(-1*(1.35*0.5*linterp(0,atmos_h,atmos_rho)*((H2*linterp(0,atmos_h,atmos_vela))^2)*37.8)/900&lt;-1.5,-1.5,-1*(1.35*0.5*linterp(0,atmos_h,atmos_rho)*((H2*linterp(0,atmos_h,atmos_vela))^2)*37.8)/900)</f>
        <v>0</v>
      </c>
      <c r="K2">
        <v>0</v>
      </c>
      <c r="L2" cm="1">
        <f t="array" ref="L2">IF((1.35*0.5*linterp(10000,atmos_h,atmos_rho)*((H2*linterp(10000,atmos_h,atmos_vela))^2)*37.8)/900&gt;6,6,(1.35*0.5*linterp(10000,atmos_h,atmos_rho)*((H2*linterp(10000,atmos_h,atmos_vela))^2)*37.8)/900)</f>
        <v>0</v>
      </c>
      <c r="M2" cm="1">
        <f t="array" ref="M2">IF(-1*(1.35*0.5*linterp(10000,atmos_h,atmos_rho)*((H2*linterp(10000,atmos_h,atmos_vela))^2)*37.8)/900&lt;-1.5,-1.5,-1*(1.35*0.5*linterp(10000,atmos_h,atmos_rho)*((H2*linterp(10000,atmos_h,atmos_vela))^2)*37.8)/900)</f>
        <v>0</v>
      </c>
    </row>
    <row r="3" spans="1:13" x14ac:dyDescent="0.25">
      <c r="A3">
        <v>2000</v>
      </c>
      <c r="B3" s="1" cm="1">
        <f t="array" ref="B3">C3/linterp(A3,atmos_h,atmos_vela)</f>
        <v>0.19096724391526404</v>
      </c>
      <c r="C3" s="2" cm="1">
        <f t="array" ref="C3">SQRT((2/linterp(A3,atmos_h,atmos_rho))*(900/37.8)*(1/1.35))</f>
        <v>125.4482922003761</v>
      </c>
      <c r="D3">
        <v>0.55000000000000004</v>
      </c>
      <c r="E3">
        <v>300</v>
      </c>
      <c r="F3" s="1" cm="1">
        <f t="array" ref="F3">IF(E3/linterp(A3,atmos_h,atmos_vela)&gt;D3,D3,E3/linterp(A3,atmos_h,atmos_vela))</f>
        <v>0.45668356395853316</v>
      </c>
      <c r="H3">
        <v>2.5000000000000001E-2</v>
      </c>
      <c r="I3" cm="1">
        <f t="array" ref="I3">IF((1.35*0.5*linterp(0,atmos_h,atmos_rho)*((H3*linterp(0,atmos_h,atmos_vela))^2)*37.8)/900&gt;6,6,(1.35*0.5*linterp(0,atmos_h,atmos_rho)*((H3*linterp(0,atmos_h,atmos_vela))^2)*37.8)/900)</f>
        <v>1.8425830416514962E-2</v>
      </c>
      <c r="J3" cm="1">
        <f t="array" ref="J3">IF(-1*(1.35*0.5*linterp(0,atmos_h,atmos_rho)*((H3*linterp(0,atmos_h,atmos_vela))^2)*37.8)/900&lt;-1.5,-1.5,-1*(1.35*0.5*linterp(0,atmos_h,atmos_rho)*((H3*linterp(0,atmos_h,atmos_vela))^2)*37.8)/900)</f>
        <v>-1.8425830416514962E-2</v>
      </c>
      <c r="K3">
        <v>2.5000000000000001E-2</v>
      </c>
      <c r="L3" cm="1">
        <f t="array" ref="L3">IF((1.35*0.5*linterp(10000,atmos_h,atmos_rho)*((H3*linterp(10000,atmos_h,atmos_vela))^2)*37.8)/900&gt;6,6,(1.35*0.5*linterp(10000,atmos_h,atmos_rho)*((H3*linterp(10000,atmos_h,atmos_vela))^2)*37.8)/900)</f>
        <v>1.2668104473339921E-2</v>
      </c>
      <c r="M3" cm="1">
        <f t="array" ref="M3">IF(-1*(1.35*0.5*linterp(10000,atmos_h,atmos_rho)*((H3*linterp(10000,atmos_h,atmos_vela))^2)*37.8)/900&lt;-1.5,-1.5,-1*(1.35*0.5*linterp(10000,atmos_h,atmos_rho)*((H3*linterp(10000,atmos_h,atmos_vela))^2)*37.8)/900)</f>
        <v>-1.2668104473339921E-2</v>
      </c>
    </row>
    <row r="4" spans="1:13" x14ac:dyDescent="0.25">
      <c r="A4">
        <v>3000</v>
      </c>
      <c r="B4" s="1" cm="1">
        <f t="array" ref="B4">C4/linterp(A4,atmos_h,atmos_vela)</f>
        <v>0.19452253468039196</v>
      </c>
      <c r="C4" s="2" cm="1">
        <f t="array" ref="C4">SQRT((2/linterp(A4,atmos_h,atmos_rho))*(900/37.8)*(1/1.35))</f>
        <v>127.33445120178459</v>
      </c>
      <c r="D4">
        <v>0.55000000000000004</v>
      </c>
      <c r="E4">
        <v>300</v>
      </c>
      <c r="F4" s="1" cm="1">
        <f t="array" ref="F4">IF(E4/linterp(A4,atmos_h,atmos_vela)&gt;D4,D4,E4/linterp(A4,atmos_h,atmos_vela))</f>
        <v>0.45829514207149402</v>
      </c>
      <c r="H4">
        <v>0.05</v>
      </c>
      <c r="I4" cm="1">
        <f t="array" ref="I4">IF((1.35*0.5*linterp(0,atmos_h,atmos_rho)*((H4*linterp(0,atmos_h,atmos_vela))^2)*37.8)/900&gt;6,6,(1.35*0.5*linterp(0,atmos_h,atmos_rho)*((H4*linterp(0,atmos_h,atmos_vela))^2)*37.8)/900)</f>
        <v>7.3703321666059848E-2</v>
      </c>
      <c r="J4" cm="1">
        <f t="array" ref="J4">IF(-1*(1.35*0.5*linterp(0,atmos_h,atmos_rho)*((H4*linterp(0,atmos_h,atmos_vela))^2)*37.8)/900&lt;-1.5,-1.5,-1*(1.35*0.5*linterp(0,atmos_h,atmos_rho)*((H4*linterp(0,atmos_h,atmos_vela))^2)*37.8)/900)</f>
        <v>-7.3703321666059848E-2</v>
      </c>
      <c r="K4">
        <v>0.05</v>
      </c>
      <c r="L4" cm="1">
        <f t="array" ref="L4">IF((1.35*0.5*linterp(10000,atmos_h,atmos_rho)*((H4*linterp(10000,atmos_h,atmos_vela))^2)*37.8)/900&gt;6,6,(1.35*0.5*linterp(10000,atmos_h,atmos_rho)*((H4*linterp(10000,atmos_h,atmos_vela))^2)*37.8)/900)</f>
        <v>5.0672417893359682E-2</v>
      </c>
      <c r="M4" cm="1">
        <f t="array" ref="M4">IF(-1*(1.35*0.5*linterp(10000,atmos_h,atmos_rho)*((H4*linterp(10000,atmos_h,atmos_vela))^2)*37.8)/900&lt;-1.5,-1.5,-1*(1.35*0.5*linterp(10000,atmos_h,atmos_rho)*((H4*linterp(10000,atmos_h,atmos_vela))^2)*37.8)/900)</f>
        <v>-5.0672417893359682E-2</v>
      </c>
    </row>
    <row r="5" spans="1:13" x14ac:dyDescent="0.25">
      <c r="A5">
        <v>4000</v>
      </c>
      <c r="B5" s="1" cm="1">
        <f t="array" ref="B5">C5/linterp(A5,atmos_h,atmos_vela)</f>
        <v>0.1982299378056146</v>
      </c>
      <c r="C5" s="2" cm="1">
        <f t="array" ref="C5">SQRT((2/linterp(A5,atmos_h,atmos_rho))*(900/37.8)*(1/1.35))</f>
        <v>129.29944153246822</v>
      </c>
      <c r="D5">
        <v>0.55000000000000004</v>
      </c>
      <c r="E5">
        <v>300</v>
      </c>
      <c r="F5" s="1" cm="1">
        <f t="array" ref="F5">IF(E5/linterp(A5,atmos_h,atmos_vela)&gt;D5,D5,E5/linterp(A5,atmos_h,atmos_vela))</f>
        <v>0.45993223665046684</v>
      </c>
      <c r="H5">
        <v>7.4999999999999997E-2</v>
      </c>
      <c r="I5" cm="1">
        <f t="array" ref="I5">IF((1.35*0.5*linterp(0,atmos_h,atmos_rho)*((H5*linterp(0,atmos_h,atmos_vela))^2)*37.8)/900&gt;6,6,(1.35*0.5*linterp(0,atmos_h,atmos_rho)*((H5*linterp(0,atmos_h,atmos_vela))^2)*37.8)/900)</f>
        <v>0.16583247374863463</v>
      </c>
      <c r="J5" cm="1">
        <f t="array" ref="J5">IF(-1*(1.35*0.5*linterp(0,atmos_h,atmos_rho)*((H5*linterp(0,atmos_h,atmos_vela))^2)*37.8)/900&lt;-1.5,-1.5,-1*(1.35*0.5*linterp(0,atmos_h,atmos_rho)*((H5*linterp(0,atmos_h,atmos_vela))^2)*37.8)/900)</f>
        <v>-0.16583247374863463</v>
      </c>
      <c r="K5">
        <v>7.4999999999999997E-2</v>
      </c>
      <c r="L5" cm="1">
        <f t="array" ref="L5">IF((1.35*0.5*linterp(10000,atmos_h,atmos_rho)*((H5*linterp(10000,atmos_h,atmos_vela))^2)*37.8)/900&gt;6,6,(1.35*0.5*linterp(10000,atmos_h,atmos_rho)*((H5*linterp(10000,atmos_h,atmos_vela))^2)*37.8)/900)</f>
        <v>0.11401294026005926</v>
      </c>
      <c r="M5" cm="1">
        <f t="array" ref="M5">IF(-1*(1.35*0.5*linterp(10000,atmos_h,atmos_rho)*((H5*linterp(10000,atmos_h,atmos_vela))^2)*37.8)/900&lt;-1.5,-1.5,-1*(1.35*0.5*linterp(10000,atmos_h,atmos_rho)*((H5*linterp(10000,atmos_h,atmos_vela))^2)*37.8)/900)</f>
        <v>-0.11401294026005926</v>
      </c>
    </row>
    <row r="6" spans="1:13" x14ac:dyDescent="0.25">
      <c r="A6">
        <v>5000</v>
      </c>
      <c r="B6" s="1" cm="1">
        <f t="array" ref="B6">C6/linterp(A6,atmos_h,atmos_vela)</f>
        <v>0.20186206305754456</v>
      </c>
      <c r="C6" s="2" cm="1">
        <f t="array" ref="C6">SQRT((2/linterp(A6,atmos_h,atmos_rho))*(900/37.8)*(1/1.35))</f>
        <v>131.21235960803455</v>
      </c>
      <c r="D6">
        <v>0.55000000000000004</v>
      </c>
      <c r="E6">
        <v>300</v>
      </c>
      <c r="F6" s="1" cm="1">
        <f t="array" ref="F6">IF(E6/linterp(A6,atmos_h,atmos_vela)&gt;D6,D6,E6/linterp(A6,atmos_h,atmos_vela))</f>
        <v>0.46153136105598375</v>
      </c>
      <c r="H6">
        <v>0.1</v>
      </c>
      <c r="I6" cm="1">
        <f t="array" ref="I6">IF((1.35*0.5*linterp(0,atmos_h,atmos_rho)*((H6*linterp(0,atmos_h,atmos_vela))^2)*37.8)/900&gt;6,6,(1.35*0.5*linterp(0,atmos_h,atmos_rho)*((H6*linterp(0,atmos_h,atmos_vela))^2)*37.8)/900)</f>
        <v>0.29481328666423939</v>
      </c>
      <c r="J6" cm="1">
        <f t="array" ref="J6">IF(-1*(1.35*0.5*linterp(0,atmos_h,atmos_rho)*((H6*linterp(0,atmos_h,atmos_vela))^2)*37.8)/900&lt;-1.5,-1.5,-1*(1.35*0.5*linterp(0,atmos_h,atmos_rho)*((H6*linterp(0,atmos_h,atmos_vela))^2)*37.8)/900)</f>
        <v>-0.29481328666423939</v>
      </c>
      <c r="K6">
        <v>0.1</v>
      </c>
      <c r="L6" cm="1">
        <f t="array" ref="L6">IF((1.35*0.5*linterp(10000,atmos_h,atmos_rho)*((H6*linterp(10000,atmos_h,atmos_vela))^2)*37.8)/900&gt;6,6,(1.35*0.5*linterp(10000,atmos_h,atmos_rho)*((H6*linterp(10000,atmos_h,atmos_vela))^2)*37.8)/900)</f>
        <v>0.20268967157343873</v>
      </c>
      <c r="M6" cm="1">
        <f t="array" ref="M6">IF(-1*(1.35*0.5*linterp(10000,atmos_h,atmos_rho)*((H6*linterp(10000,atmos_h,atmos_vela))^2)*37.8)/900&lt;-1.5,-1.5,-1*(1.35*0.5*linterp(10000,atmos_h,atmos_rho)*((H6*linterp(10000,atmos_h,atmos_vela))^2)*37.8)/900)</f>
        <v>-0.20268967157343873</v>
      </c>
    </row>
    <row r="7" spans="1:13" x14ac:dyDescent="0.25">
      <c r="A7">
        <v>6000</v>
      </c>
      <c r="B7" s="1" cm="1">
        <f t="array" ref="B7">C7/linterp(A7,atmos_h,atmos_vela)</f>
        <v>0.20575455219646302</v>
      </c>
      <c r="C7" s="2" cm="1">
        <f t="array" ref="C7">SQRT((2/linterp(A7,atmos_h,atmos_rho))*(900/37.8)*(1/1.35))</f>
        <v>133.26105082108319</v>
      </c>
      <c r="D7">
        <v>0.55000000000000004</v>
      </c>
      <c r="E7">
        <v>300</v>
      </c>
      <c r="F7" s="1" cm="1">
        <f t="array" ref="F7">IF(E7/linterp(A7,atmos_h,atmos_vela)&gt;D7,D7,E7/linterp(A7,atmos_h,atmos_vela))</f>
        <v>0.4631988512668489</v>
      </c>
      <c r="H7">
        <v>0.125</v>
      </c>
      <c r="I7" cm="1">
        <f t="array" ref="I7">IF((1.35*0.5*linterp(0,atmos_h,atmos_rho)*((H7*linterp(0,atmos_h,atmos_vela))^2)*37.8)/900&gt;6,6,(1.35*0.5*linterp(0,atmos_h,atmos_rho)*((H7*linterp(0,atmos_h,atmos_vela))^2)*37.8)/900)</f>
        <v>0.46064576041287403</v>
      </c>
      <c r="J7" cm="1">
        <f t="array" ref="J7">IF(-1*(1.35*0.5*linterp(0,atmos_h,atmos_rho)*((H7*linterp(0,atmos_h,atmos_vela))^2)*37.8)/900&lt;-1.5,-1.5,-1*(1.35*0.5*linterp(0,atmos_h,atmos_rho)*((H7*linterp(0,atmos_h,atmos_vela))^2)*37.8)/900)</f>
        <v>-0.46064576041287403</v>
      </c>
      <c r="K7">
        <v>0.125</v>
      </c>
      <c r="L7" cm="1">
        <f t="array" ref="L7">IF((1.35*0.5*linterp(10000,atmos_h,atmos_rho)*((H7*linterp(10000,atmos_h,atmos_vela))^2)*37.8)/900&gt;6,6,(1.35*0.5*linterp(10000,atmos_h,atmos_rho)*((H7*linterp(10000,atmos_h,atmos_vela))^2)*37.8)/900)</f>
        <v>0.31670261183349796</v>
      </c>
      <c r="M7" cm="1">
        <f t="array" ref="M7">IF(-1*(1.35*0.5*linterp(10000,atmos_h,atmos_rho)*((H7*linterp(10000,atmos_h,atmos_vela))^2)*37.8)/900&lt;-1.5,-1.5,-1*(1.35*0.5*linterp(10000,atmos_h,atmos_rho)*((H7*linterp(10000,atmos_h,atmos_vela))^2)*37.8)/900)</f>
        <v>-0.31670261183349796</v>
      </c>
    </row>
    <row r="8" spans="1:13" x14ac:dyDescent="0.25">
      <c r="A8">
        <v>7000</v>
      </c>
      <c r="B8" s="1" cm="1">
        <f t="array" ref="B8">C8/linterp(A8,atmos_h,atmos_vela)</f>
        <v>0.20970886270724301</v>
      </c>
      <c r="C8" s="2" cm="1">
        <f t="array" ref="C8">SQRT((2/linterp(A8,atmos_h,atmos_rho))*(900/37.8)*(1/1.35))</f>
        <v>135.32722619361098</v>
      </c>
      <c r="D8">
        <v>0.55000000000000004</v>
      </c>
      <c r="E8">
        <v>300</v>
      </c>
      <c r="F8" s="1" cm="1">
        <f t="array" ref="F8">IF(E8/linterp(A8,atmos_h,atmos_vela)&gt;D8,D8,E8/linterp(A8,atmos_h,atmos_vela))</f>
        <v>0.46489284219987298</v>
      </c>
      <c r="H8">
        <v>0.15</v>
      </c>
      <c r="I8" cm="1">
        <f t="array" ref="I8">IF((1.35*0.5*linterp(0,atmos_h,atmos_rho)*((H8*linterp(0,atmos_h,atmos_vela))^2)*37.8)/900&gt;6,6,(1.35*0.5*linterp(0,atmos_h,atmos_rho)*((H8*linterp(0,atmos_h,atmos_vela))^2)*37.8)/900)</f>
        <v>0.66332989499453854</v>
      </c>
      <c r="J8" cm="1">
        <f t="array" ref="J8">IF(-1*(1.35*0.5*linterp(0,atmos_h,atmos_rho)*((H8*linterp(0,atmos_h,atmos_vela))^2)*37.8)/900&lt;-1.5,-1.5,-1*(1.35*0.5*linterp(0,atmos_h,atmos_rho)*((H8*linterp(0,atmos_h,atmos_vela))^2)*37.8)/900)</f>
        <v>-0.66332989499453854</v>
      </c>
      <c r="K8">
        <v>0.15</v>
      </c>
      <c r="L8" cm="1">
        <f t="array" ref="L8">IF((1.35*0.5*linterp(10000,atmos_h,atmos_rho)*((H8*linterp(10000,atmos_h,atmos_vela))^2)*37.8)/900&gt;6,6,(1.35*0.5*linterp(10000,atmos_h,atmos_rho)*((H8*linterp(10000,atmos_h,atmos_vela))^2)*37.8)/900)</f>
        <v>0.45605176104023704</v>
      </c>
      <c r="M8" cm="1">
        <f t="array" ref="M8">IF(-1*(1.35*0.5*linterp(10000,atmos_h,atmos_rho)*((H8*linterp(10000,atmos_h,atmos_vela))^2)*37.8)/900&lt;-1.5,-1.5,-1*(1.35*0.5*linterp(10000,atmos_h,atmos_rho)*((H8*linterp(10000,atmos_h,atmos_vela))^2)*37.8)/900)</f>
        <v>-0.45605176104023704</v>
      </c>
    </row>
    <row r="9" spans="1:13" x14ac:dyDescent="0.25">
      <c r="A9">
        <v>8000</v>
      </c>
      <c r="B9" s="1" cm="1">
        <f t="array" ref="B9">C9/linterp(A9,atmos_h,atmos_vela)</f>
        <v>0.21363275066058918</v>
      </c>
      <c r="C9" s="2" cm="1">
        <f t="array" ref="C9">SQRT((2/linterp(A9,atmos_h,atmos_rho))*(900/37.8)*(1/1.35))</f>
        <v>137.37226765727866</v>
      </c>
      <c r="D9">
        <v>0.55000000000000004</v>
      </c>
      <c r="E9">
        <v>300</v>
      </c>
      <c r="F9" s="1" cm="1">
        <f t="array" ref="F9">IF(E9/linterp(A9,atmos_h,atmos_vela)&gt;D9,D9,E9/linterp(A9,atmos_h,atmos_vela))</f>
        <v>0.46654121891669131</v>
      </c>
      <c r="H9">
        <v>0.17499999999999999</v>
      </c>
      <c r="I9" cm="1">
        <f t="array" ref="I9">IF((1.35*0.5*linterp(0,atmos_h,atmos_rho)*((H9*linterp(0,atmos_h,atmos_vela))^2)*37.8)/900&gt;6,6,(1.35*0.5*linterp(0,atmos_h,atmos_rho)*((H9*linterp(0,atmos_h,atmos_vela))^2)*37.8)/900)</f>
        <v>0.90286569040923281</v>
      </c>
      <c r="J9" cm="1">
        <f t="array" ref="J9">IF(-1*(1.35*0.5*linterp(0,atmos_h,atmos_rho)*((H9*linterp(0,atmos_h,atmos_vela))^2)*37.8)/900&lt;-1.5,-1.5,-1*(1.35*0.5*linterp(0,atmos_h,atmos_rho)*((H9*linterp(0,atmos_h,atmos_vela))^2)*37.8)/900)</f>
        <v>-0.90286569040923281</v>
      </c>
      <c r="K9">
        <v>0.17499999999999999</v>
      </c>
      <c r="L9" cm="1">
        <f t="array" ref="L9">IF((1.35*0.5*linterp(10000,atmos_h,atmos_rho)*((H9*linterp(10000,atmos_h,atmos_vela))^2)*37.8)/900&gt;6,6,(1.35*0.5*linterp(10000,atmos_h,atmos_rho)*((H9*linterp(10000,atmos_h,atmos_vela))^2)*37.8)/900)</f>
        <v>0.62073711919365593</v>
      </c>
      <c r="M9" cm="1">
        <f t="array" ref="M9">IF(-1*(1.35*0.5*linterp(10000,atmos_h,atmos_rho)*((H9*linterp(10000,atmos_h,atmos_vela))^2)*37.8)/900&lt;-1.5,-1.5,-1*(1.35*0.5*linterp(10000,atmos_h,atmos_rho)*((H9*linterp(10000,atmos_h,atmos_vela))^2)*37.8)/900)</f>
        <v>-0.62073711919365593</v>
      </c>
    </row>
    <row r="10" spans="1:13" x14ac:dyDescent="0.25">
      <c r="A10">
        <v>9000</v>
      </c>
      <c r="B10" s="1" cm="1">
        <f t="array" ref="B10">C10/linterp(A10,atmos_h,atmos_vela)</f>
        <v>0.21785213238320925</v>
      </c>
      <c r="C10" s="2" cm="1">
        <f t="array" ref="C10">SQRT((2/linterp(A10,atmos_h,atmos_rho))*(900/37.8)*(1/1.35))</f>
        <v>139.56914713262682</v>
      </c>
      <c r="D10">
        <v>0.55000000000000004</v>
      </c>
      <c r="E10">
        <v>300</v>
      </c>
      <c r="F10" s="1" cm="1">
        <f t="array" ref="F10">IF(E10/linterp(A10,atmos_h,atmos_vela)&gt;D10,D10,E10/linterp(A10,atmos_h,atmos_vela))</f>
        <v>0.46826709955358536</v>
      </c>
      <c r="H10">
        <v>0.2</v>
      </c>
      <c r="I10" cm="1">
        <f t="array" ref="I10">IF((1.35*0.5*linterp(0,atmos_h,atmos_rho)*((H10*linterp(0,atmos_h,atmos_vela))^2)*37.8)/900&gt;6,6,(1.35*0.5*linterp(0,atmos_h,atmos_rho)*((H10*linterp(0,atmos_h,atmos_vela))^2)*37.8)/900)</f>
        <v>1.1792531466569576</v>
      </c>
      <c r="J10" cm="1">
        <f t="array" ref="J10">IF(-1*(1.35*0.5*linterp(0,atmos_h,atmos_rho)*((H10*linterp(0,atmos_h,atmos_vela))^2)*37.8)/900&lt;-1.5,-1.5,-1*(1.35*0.5*linterp(0,atmos_h,atmos_rho)*((H10*linterp(0,atmos_h,atmos_vela))^2)*37.8)/900)</f>
        <v>-1.1792531466569576</v>
      </c>
      <c r="K10">
        <v>0.2</v>
      </c>
      <c r="L10" cm="1">
        <f t="array" ref="L10">IF((1.35*0.5*linterp(10000,atmos_h,atmos_rho)*((H10*linterp(10000,atmos_h,atmos_vela))^2)*37.8)/900&gt;6,6,(1.35*0.5*linterp(10000,atmos_h,atmos_rho)*((H10*linterp(10000,atmos_h,atmos_vela))^2)*37.8)/900)</f>
        <v>0.81075868629375492</v>
      </c>
      <c r="M10" cm="1">
        <f t="array" ref="M10">IF(-1*(1.35*0.5*linterp(10000,atmos_h,atmos_rho)*((H10*linterp(10000,atmos_h,atmos_vela))^2)*37.8)/900&lt;-1.5,-1.5,-1*(1.35*0.5*linterp(10000,atmos_h,atmos_rho)*((H10*linterp(10000,atmos_h,atmos_vela))^2)*37.8)/900)</f>
        <v>-0.81075868629375492</v>
      </c>
    </row>
    <row r="11" spans="1:13" x14ac:dyDescent="0.25">
      <c r="A11">
        <v>10000</v>
      </c>
      <c r="B11" s="1" cm="1">
        <f t="array" ref="B11">C11/linterp(A11,atmos_h,atmos_vela)</f>
        <v>0.22211822308066881</v>
      </c>
      <c r="C11" s="2" cm="1">
        <f t="array" ref="C11">SQRT((2/linterp(A11,atmos_h,atmos_rho))*(900/37.8)*(1/1.35))</f>
        <v>141.77584061016009</v>
      </c>
      <c r="D11">
        <v>0.55000000000000004</v>
      </c>
      <c r="E11">
        <v>300</v>
      </c>
      <c r="F11" s="1" cm="1">
        <f t="array" ref="F11">IF(E11/linterp(A11,atmos_h,atmos_vela)&gt;D11,D11,E11/linterp(A11,atmos_h,atmos_vela))</f>
        <v>0.47000579673815979</v>
      </c>
      <c r="H11">
        <v>0.22500000000000001</v>
      </c>
      <c r="I11" cm="1">
        <f t="array" ref="I11">IF((1.35*0.5*linterp(0,atmos_h,atmos_rho)*((H11*linterp(0,atmos_h,atmos_vela))^2)*37.8)/900&gt;6,6,(1.35*0.5*linterp(0,atmos_h,atmos_rho)*((H11*linterp(0,atmos_h,atmos_vela))^2)*37.8)/900)</f>
        <v>1.4924922637377118</v>
      </c>
      <c r="J11" cm="1">
        <f t="array" ref="J11">IF(-1*(1.35*0.5*linterp(0,atmos_h,atmos_rho)*((H11*linterp(0,atmos_h,atmos_vela))^2)*37.8)/900&lt;-1.5,-1.5,-1*(1.35*0.5*linterp(0,atmos_h,atmos_rho)*((H11*linterp(0,atmos_h,atmos_vela))^2)*37.8)/900)</f>
        <v>-1.4924922637377118</v>
      </c>
      <c r="K11">
        <v>0.22500000000000001</v>
      </c>
      <c r="L11" cm="1">
        <f t="array" ref="L11">IF((1.35*0.5*linterp(10000,atmos_h,atmos_rho)*((H11*linterp(10000,atmos_h,atmos_vela))^2)*37.8)/900&gt;6,6,(1.35*0.5*linterp(10000,atmos_h,atmos_rho)*((H11*linterp(10000,atmos_h,atmos_vela))^2)*37.8)/900)</f>
        <v>1.0261164623405334</v>
      </c>
      <c r="M11" cm="1">
        <f t="array" ref="M11">IF(-1*(1.35*0.5*linterp(10000,atmos_h,atmos_rho)*((H11*linterp(10000,atmos_h,atmos_vela))^2)*37.8)/900&lt;-1.5,-1.5,-1*(1.35*0.5*linterp(10000,atmos_h,atmos_rho)*((H11*linterp(10000,atmos_h,atmos_vela))^2)*37.8)/900)</f>
        <v>-1.0261164623405334</v>
      </c>
    </row>
    <row r="12" spans="1:13" x14ac:dyDescent="0.25">
      <c r="A12">
        <v>11000</v>
      </c>
      <c r="B12" s="1" cm="1">
        <f t="array" ref="B12">C12/linterp(A12,atmos_h,atmos_vela)</f>
        <v>0.22644235440818719</v>
      </c>
      <c r="C12" s="2" cm="1">
        <f t="array" ref="C12">SQRT((2/linterp(A12,atmos_h,atmos_rho))*(900/37.8)*(1/1.35))</f>
        <v>144.01054413297481</v>
      </c>
      <c r="D12">
        <v>0.55000000000000004</v>
      </c>
      <c r="E12">
        <v>300</v>
      </c>
      <c r="F12" s="1" cm="1">
        <f t="array" ref="F12">IF(E12/linterp(A12,atmos_h,atmos_vela)&gt;D12,D12,E12/linterp(A12,atmos_h,atmos_vela))</f>
        <v>0.47172036416812113</v>
      </c>
      <c r="H12">
        <v>0.25</v>
      </c>
      <c r="I12" cm="1">
        <f t="array" ref="I12">IF((1.35*0.5*linterp(0,atmos_h,atmos_rho)*((H12*linterp(0,atmos_h,atmos_vela))^2)*37.8)/900&gt;6,6,(1.35*0.5*linterp(0,atmos_h,atmos_rho)*((H12*linterp(0,atmos_h,atmos_vela))^2)*37.8)/900)</f>
        <v>1.8425830416514961</v>
      </c>
      <c r="J12" cm="1">
        <f t="array" ref="J12">IF(-1*(1.35*0.5*linterp(0,atmos_h,atmos_rho)*((H12*linterp(0,atmos_h,atmos_vela))^2)*37.8)/900&lt;-1.5,-1.5,-1*(1.35*0.5*linterp(0,atmos_h,atmos_rho)*((H12*linterp(0,atmos_h,atmos_vela))^2)*37.8)/900)</f>
        <v>-1.5</v>
      </c>
      <c r="K12">
        <v>0.25</v>
      </c>
      <c r="L12" cm="1">
        <f t="array" ref="L12">IF((1.35*0.5*linterp(10000,atmos_h,atmos_rho)*((H12*linterp(10000,atmos_h,atmos_vela))^2)*37.8)/900&gt;6,6,(1.35*0.5*linterp(10000,atmos_h,atmos_rho)*((H12*linterp(10000,atmos_h,atmos_vela))^2)*37.8)/900)</f>
        <v>1.2668104473339918</v>
      </c>
      <c r="M12" cm="1">
        <f t="array" ref="M12">IF(-1*(1.35*0.5*linterp(10000,atmos_h,atmos_rho)*((H12*linterp(10000,atmos_h,atmos_vela))^2)*37.8)/900&lt;-1.5,-1.5,-1*(1.35*0.5*linterp(10000,atmos_h,atmos_rho)*((H12*linterp(10000,atmos_h,atmos_vela))^2)*37.8)/900)</f>
        <v>-1.2668104473339918</v>
      </c>
    </row>
    <row r="13" spans="1:13" x14ac:dyDescent="0.25">
      <c r="A13">
        <v>12000</v>
      </c>
      <c r="B13" s="1" cm="1">
        <f t="array" ref="B13">C13/linterp(A13,atmos_h,atmos_vela)</f>
        <v>0.23093627869740244</v>
      </c>
      <c r="C13" s="2" cm="1">
        <f t="array" ref="C13">SQRT((2/linterp(A13,atmos_h,atmos_rho))*(900/37.8)*(1/1.35))</f>
        <v>146.31660745710025</v>
      </c>
      <c r="D13">
        <v>0.55000000000000004</v>
      </c>
      <c r="E13">
        <v>300</v>
      </c>
      <c r="F13" s="1" cm="1">
        <f t="array" ref="F13">IF(E13/linterp(A13,atmos_h,atmos_vela)&gt;D13,D13,E13/linterp(A13,atmos_h,atmos_vela))</f>
        <v>0.47349979481675553</v>
      </c>
      <c r="H13">
        <v>0.27500000000000002</v>
      </c>
      <c r="I13" cm="1">
        <f t="array" ref="I13">IF((1.35*0.5*linterp(0,atmos_h,atmos_rho)*((H13*linterp(0,atmos_h,atmos_vela))^2)*37.8)/900&gt;6,6,(1.35*0.5*linterp(0,atmos_h,atmos_rho)*((H13*linterp(0,atmos_h,atmos_vela))^2)*37.8)/900)</f>
        <v>2.2295254803983111</v>
      </c>
      <c r="J13" cm="1">
        <f t="array" ref="J13">IF(-1*(1.35*0.5*linterp(0,atmos_h,atmos_rho)*((H13*linterp(0,atmos_h,atmos_vela))^2)*37.8)/900&lt;-1.5,-1.5,-1*(1.35*0.5*linterp(0,atmos_h,atmos_rho)*((H13*linterp(0,atmos_h,atmos_vela))^2)*37.8)/900)</f>
        <v>-1.5</v>
      </c>
      <c r="K13">
        <v>0.27500000000000002</v>
      </c>
      <c r="L13" cm="1">
        <f t="array" ref="L13">IF((1.35*0.5*linterp(10000,atmos_h,atmos_rho)*((H13*linterp(10000,atmos_h,atmos_vela))^2)*37.8)/900&gt;6,6,(1.35*0.5*linterp(10000,atmos_h,atmos_rho)*((H13*linterp(10000,atmos_h,atmos_vela))^2)*37.8)/900)</f>
        <v>1.5328406412741302</v>
      </c>
      <c r="M13" cm="1">
        <f t="array" ref="M13">IF(-1*(1.35*0.5*linterp(10000,atmos_h,atmos_rho)*((H13*linterp(10000,atmos_h,atmos_vela))^2)*37.8)/900&lt;-1.5,-1.5,-1*(1.35*0.5*linterp(10000,atmos_h,atmos_rho)*((H13*linterp(10000,atmos_h,atmos_vela))^2)*37.8)/900)</f>
        <v>-1.5</v>
      </c>
    </row>
    <row r="14" spans="1:13" x14ac:dyDescent="0.25">
      <c r="A14">
        <v>13000</v>
      </c>
      <c r="B14" s="1" cm="1">
        <f t="array" ref="B14">C14/linterp(A14,atmos_h,atmos_vela)</f>
        <v>0.2356323026465191</v>
      </c>
      <c r="C14" s="2" cm="1">
        <f t="array" ref="C14">SQRT((2/linterp(A14,atmos_h,atmos_rho))*(900/37.8)*(1/1.35))</f>
        <v>148.72639678442991</v>
      </c>
      <c r="D14">
        <v>0.55000000000000004</v>
      </c>
      <c r="E14">
        <v>300</v>
      </c>
      <c r="F14" s="1" cm="1">
        <f t="array" ref="F14">IF(E14/linterp(A14,atmos_h,atmos_vela)&gt;D14,D14,E14/linterp(A14,atmos_h,atmos_vela))</f>
        <v>0.47530023131277926</v>
      </c>
      <c r="H14">
        <v>0.3</v>
      </c>
      <c r="I14" cm="1">
        <f t="array" ref="I14">IF((1.35*0.5*linterp(0,atmos_h,atmos_rho)*((H14*linterp(0,atmos_h,atmos_vela))^2)*37.8)/900&gt;6,6,(1.35*0.5*linterp(0,atmos_h,atmos_rho)*((H14*linterp(0,atmos_h,atmos_vela))^2)*37.8)/900)</f>
        <v>2.6533195799781542</v>
      </c>
      <c r="J14" cm="1">
        <f t="array" ref="J14">IF(-1*(1.35*0.5*linterp(0,atmos_h,atmos_rho)*((H14*linterp(0,atmos_h,atmos_vela))^2)*37.8)/900&lt;-1.5,-1.5,-1*(1.35*0.5*linterp(0,atmos_h,atmos_rho)*((H14*linterp(0,atmos_h,atmos_vela))^2)*37.8)/900)</f>
        <v>-1.5</v>
      </c>
      <c r="K14">
        <v>0.3</v>
      </c>
      <c r="L14" cm="1">
        <f t="array" ref="L14">IF((1.35*0.5*linterp(10000,atmos_h,atmos_rho)*((H14*linterp(10000,atmos_h,atmos_vela))^2)*37.8)/900&gt;6,6,(1.35*0.5*linterp(10000,atmos_h,atmos_rho)*((H14*linterp(10000,atmos_h,atmos_vela))^2)*37.8)/900)</f>
        <v>1.8242070441609481</v>
      </c>
      <c r="M14" cm="1">
        <f t="array" ref="M14">IF(-1*(1.35*0.5*linterp(10000,atmos_h,atmos_rho)*((H14*linterp(10000,atmos_h,atmos_vela))^2)*37.8)/900&lt;-1.5,-1.5,-1*(1.35*0.5*linterp(10000,atmos_h,atmos_rho)*((H14*linterp(10000,atmos_h,atmos_vela))^2)*37.8)/900)</f>
        <v>-1.5</v>
      </c>
    </row>
    <row r="15" spans="1:13" x14ac:dyDescent="0.25">
      <c r="A15">
        <v>14000</v>
      </c>
      <c r="B15" s="1" cm="1">
        <f t="array" ref="B15">C15/linterp(A15,atmos_h,atmos_vela)</f>
        <v>0.24026207229539931</v>
      </c>
      <c r="C15" s="2" cm="1">
        <f t="array" ref="C15">SQRT((2/linterp(A15,atmos_h,atmos_rho))*(900/37.8)*(1/1.35))</f>
        <v>151.08399892151596</v>
      </c>
      <c r="D15">
        <v>0.55000000000000004</v>
      </c>
      <c r="E15">
        <v>300</v>
      </c>
      <c r="F15" s="1" cm="1">
        <f t="array" ref="F15">IF(E15/linterp(A15,atmos_h,atmos_vela)&gt;D15,D15,E15/linterp(A15,atmos_h,atmos_vela))</f>
        <v>0.477076475359</v>
      </c>
      <c r="H15">
        <v>0.32500000000000001</v>
      </c>
      <c r="I15" cm="1">
        <f t="array" ref="I15">IF((1.35*0.5*linterp(0,atmos_h,atmos_rho)*((H15*linterp(0,atmos_h,atmos_vela))^2)*37.8)/900&gt;6,6,(1.35*0.5*linterp(0,atmos_h,atmos_rho)*((H15*linterp(0,atmos_h,atmos_vela))^2)*37.8)/900)</f>
        <v>3.113965340391029</v>
      </c>
      <c r="J15" cm="1">
        <f t="array" ref="J15">IF(-1*(1.35*0.5*linterp(0,atmos_h,atmos_rho)*((H15*linterp(0,atmos_h,atmos_vela))^2)*37.8)/900&lt;-1.5,-1.5,-1*(1.35*0.5*linterp(0,atmos_h,atmos_rho)*((H15*linterp(0,atmos_h,atmos_vela))^2)*37.8)/900)</f>
        <v>-1.5</v>
      </c>
      <c r="K15">
        <v>0.32500000000000001</v>
      </c>
      <c r="L15" cm="1">
        <f t="array" ref="L15">IF((1.35*0.5*linterp(10000,atmos_h,atmos_rho)*((H15*linterp(10000,atmos_h,atmos_vela))^2)*37.8)/900&gt;6,6,(1.35*0.5*linterp(10000,atmos_h,atmos_rho)*((H15*linterp(10000,atmos_h,atmos_vela))^2)*37.8)/900)</f>
        <v>2.140909655994446</v>
      </c>
      <c r="M15" cm="1">
        <f t="array" ref="M15">IF(-1*(1.35*0.5*linterp(10000,atmos_h,atmos_rho)*((H15*linterp(10000,atmos_h,atmos_vela))^2)*37.8)/900&lt;-1.5,-1.5,-1*(1.35*0.5*linterp(10000,atmos_h,atmos_rho)*((H15*linterp(10000,atmos_h,atmos_vela))^2)*37.8)/900)</f>
        <v>-1.5</v>
      </c>
    </row>
    <row r="16" spans="1:13" x14ac:dyDescent="0.25">
      <c r="A16">
        <v>15000</v>
      </c>
      <c r="B16" s="1" cm="1">
        <f t="array" ref="B16">C16/linterp(A16,atmos_h,atmos_vela)</f>
        <v>0.24514717654908955</v>
      </c>
      <c r="C16" s="2" cm="1">
        <f t="array" ref="C16">SQRT((2/linterp(A16,atmos_h,atmos_rho))*(900/37.8)*(1/1.35))</f>
        <v>153.56509433388067</v>
      </c>
      <c r="D16">
        <v>0.55000000000000004</v>
      </c>
      <c r="E16">
        <v>300</v>
      </c>
      <c r="F16" s="1" cm="1">
        <f t="array" ref="F16">IF(E16/linterp(A16,atmos_h,atmos_vela)&gt;D16,D16,E16/linterp(A16,atmos_h,atmos_vela))</f>
        <v>0.47891191213562789</v>
      </c>
      <c r="H16">
        <v>0.35</v>
      </c>
      <c r="I16" cm="1">
        <f t="array" ref="I16">IF((1.35*0.5*linterp(0,atmos_h,atmos_rho)*((H16*linterp(0,atmos_h,atmos_vela))^2)*37.8)/900&gt;6,6,(1.35*0.5*linterp(0,atmos_h,atmos_rho)*((H16*linterp(0,atmos_h,atmos_vela))^2)*37.8)/900)</f>
        <v>3.6114627616369313</v>
      </c>
      <c r="J16" cm="1">
        <f t="array" ref="J16">IF(-1*(1.35*0.5*linterp(0,atmos_h,atmos_rho)*((H16*linterp(0,atmos_h,atmos_vela))^2)*37.8)/900&lt;-1.5,-1.5,-1*(1.35*0.5*linterp(0,atmos_h,atmos_rho)*((H16*linterp(0,atmos_h,atmos_vela))^2)*37.8)/900)</f>
        <v>-1.5</v>
      </c>
      <c r="K16">
        <v>0.35</v>
      </c>
      <c r="L16" cm="1">
        <f t="array" ref="L16">IF((1.35*0.5*linterp(10000,atmos_h,atmos_rho)*((H16*linterp(10000,atmos_h,atmos_vela))^2)*37.8)/900&gt;6,6,(1.35*0.5*linterp(10000,atmos_h,atmos_rho)*((H16*linterp(10000,atmos_h,atmos_vela))^2)*37.8)/900)</f>
        <v>2.4829484767746237</v>
      </c>
      <c r="M16" cm="1">
        <f t="array" ref="M16">IF(-1*(1.35*0.5*linterp(10000,atmos_h,atmos_rho)*((H16*linterp(10000,atmos_h,atmos_vela))^2)*37.8)/900&lt;-1.5,-1.5,-1*(1.35*0.5*linterp(10000,atmos_h,atmos_rho)*((H16*linterp(10000,atmos_h,atmos_vela))^2)*37.8)/900)</f>
        <v>-1.5</v>
      </c>
    </row>
    <row r="17" spans="1:13" x14ac:dyDescent="0.25">
      <c r="A17">
        <v>16000</v>
      </c>
      <c r="B17" s="1" cm="1">
        <f t="array" ref="B17">C17/linterp(A17,atmos_h,atmos_vela)</f>
        <v>0.25023041010656999</v>
      </c>
      <c r="C17" s="2" cm="1">
        <f t="array" ref="C17">SQRT((2/linterp(A17,atmos_h,atmos_rho))*(900/37.8)*(1/1.35))</f>
        <v>156.1412736023986</v>
      </c>
      <c r="D17">
        <v>0.55000000000000004</v>
      </c>
      <c r="E17">
        <v>300</v>
      </c>
      <c r="F17" s="1" cm="1">
        <f t="array" ref="F17">IF(E17/linterp(A17,atmos_h,atmos_vela)&gt;D17,D17,E17/linterp(A17,atmos_h,atmos_vela))</f>
        <v>0.48077693552781292</v>
      </c>
      <c r="H17">
        <v>0.375</v>
      </c>
      <c r="I17" cm="1">
        <f t="array" ref="I17">IF((1.35*0.5*linterp(0,atmos_h,atmos_rho)*((H17*linterp(0,atmos_h,atmos_vela))^2)*37.8)/900&gt;6,6,(1.35*0.5*linterp(0,atmos_h,atmos_rho)*((H17*linterp(0,atmos_h,atmos_vela))^2)*37.8)/900)</f>
        <v>4.1458118437158662</v>
      </c>
      <c r="J17" cm="1">
        <f t="array" ref="J17">IF(-1*(1.35*0.5*linterp(0,atmos_h,atmos_rho)*((H17*linterp(0,atmos_h,atmos_vela))^2)*37.8)/900&lt;-1.5,-1.5,-1*(1.35*0.5*linterp(0,atmos_h,atmos_rho)*((H17*linterp(0,atmos_h,atmos_vela))^2)*37.8)/900)</f>
        <v>-1.5</v>
      </c>
      <c r="K17">
        <v>0.375</v>
      </c>
      <c r="L17" cm="1">
        <f t="array" ref="L17">IF((1.35*0.5*linterp(10000,atmos_h,atmos_rho)*((H17*linterp(10000,atmos_h,atmos_vela))^2)*37.8)/900&gt;6,6,(1.35*0.5*linterp(10000,atmos_h,atmos_rho)*((H17*linterp(10000,atmos_h,atmos_vela))^2)*37.8)/900)</f>
        <v>2.8503235065014816</v>
      </c>
      <c r="M17" cm="1">
        <f t="array" ref="M17">IF(-1*(1.35*0.5*linterp(10000,atmos_h,atmos_rho)*((H17*linterp(10000,atmos_h,atmos_vela))^2)*37.8)/900&lt;-1.5,-1.5,-1*(1.35*0.5*linterp(10000,atmos_h,atmos_rho)*((H17*linterp(10000,atmos_h,atmos_vela))^2)*37.8)/900)</f>
        <v>-1.5</v>
      </c>
    </row>
    <row r="18" spans="1:13" x14ac:dyDescent="0.25">
      <c r="A18">
        <v>17000</v>
      </c>
      <c r="B18" s="1" cm="1">
        <f t="array" ref="B18">C18/linterp(A18,atmos_h,atmos_vela)</f>
        <v>0.25525165837884456</v>
      </c>
      <c r="C18" s="2" cm="1">
        <f t="array" ref="C18">SQRT((2/linterp(A18,atmos_h,atmos_rho))*(900/37.8)*(1/1.35))</f>
        <v>158.66953588145736</v>
      </c>
      <c r="D18">
        <v>0.55000000000000004</v>
      </c>
      <c r="E18">
        <v>300</v>
      </c>
      <c r="F18" s="1" cm="1">
        <f t="array" ref="F18">IF(E18/linterp(A18,atmos_h,atmos_vela)&gt;D18,D18,E18/linterp(A18,atmos_h,atmos_vela))</f>
        <v>0.48260995463466427</v>
      </c>
      <c r="H18">
        <v>0.4</v>
      </c>
      <c r="I18" cm="1">
        <f t="array" ref="I18">IF((1.35*0.5*linterp(0,atmos_h,atmos_rho)*((H18*linterp(0,atmos_h,atmos_vela))^2)*37.8)/900&gt;6,6,(1.35*0.5*linterp(0,atmos_h,atmos_rho)*((H18*linterp(0,atmos_h,atmos_vela))^2)*37.8)/900)</f>
        <v>4.7170125866278303</v>
      </c>
      <c r="J18" cm="1">
        <f t="array" ref="J18">IF(-1*(1.35*0.5*linterp(0,atmos_h,atmos_rho)*((H18*linterp(0,atmos_h,atmos_vela))^2)*37.8)/900&lt;-1.5,-1.5,-1*(1.35*0.5*linterp(0,atmos_h,atmos_rho)*((H18*linterp(0,atmos_h,atmos_vela))^2)*37.8)/900)</f>
        <v>-1.5</v>
      </c>
      <c r="K18">
        <v>0.4</v>
      </c>
      <c r="L18" cm="1">
        <f t="array" ref="L18">IF((1.35*0.5*linterp(10000,atmos_h,atmos_rho)*((H18*linterp(10000,atmos_h,atmos_vela))^2)*37.8)/900&gt;6,6,(1.35*0.5*linterp(10000,atmos_h,atmos_rho)*((H18*linterp(10000,atmos_h,atmos_vela))^2)*37.8)/900)</f>
        <v>3.2430347451750197</v>
      </c>
      <c r="M18" cm="1">
        <f t="array" ref="M18">IF(-1*(1.35*0.5*linterp(10000,atmos_h,atmos_rho)*((H18*linterp(10000,atmos_h,atmos_vela))^2)*37.8)/900&lt;-1.5,-1.5,-1*(1.35*0.5*linterp(10000,atmos_h,atmos_rho)*((H18*linterp(10000,atmos_h,atmos_vela))^2)*37.8)/900)</f>
        <v>-1.5</v>
      </c>
    </row>
    <row r="19" spans="1:13" x14ac:dyDescent="0.25">
      <c r="A19">
        <v>18000</v>
      </c>
      <c r="B19" s="1" cm="1">
        <f t="array" ref="B19">C19/linterp(A19,atmos_h,atmos_vela)</f>
        <v>0.26066539687425744</v>
      </c>
      <c r="C19" s="2" cm="1">
        <f t="array" ref="C19">SQRT((2/linterp(A19,atmos_h,atmos_rho))*(900/37.8)*(1/1.35))</f>
        <v>161.39619378263396</v>
      </c>
      <c r="D19">
        <v>0.55000000000000004</v>
      </c>
      <c r="E19">
        <v>300</v>
      </c>
      <c r="F19" s="1" cm="1">
        <f t="array" ref="F19">IF(E19/linterp(A19,atmos_h,atmos_vela)&gt;D19,D19,E19/linterp(A19,atmos_h,atmos_vela))</f>
        <v>0.48451959881777223</v>
      </c>
      <c r="H19">
        <v>0.42499999999999999</v>
      </c>
      <c r="I19" cm="1">
        <f t="array" ref="I19">IF((1.35*0.5*linterp(0,atmos_h,atmos_rho)*((H19*linterp(0,atmos_h,atmos_vela))^2)*37.8)/900&gt;6,6,(1.35*0.5*linterp(0,atmos_h,atmos_rho)*((H19*linterp(0,atmos_h,atmos_vela))^2)*37.8)/900)</f>
        <v>5.3250649903728249</v>
      </c>
      <c r="J19" cm="1">
        <f t="array" ref="J19">IF(-1*(1.35*0.5*linterp(0,atmos_h,atmos_rho)*((H19*linterp(0,atmos_h,atmos_vela))^2)*37.8)/900&lt;-1.5,-1.5,-1*(1.35*0.5*linterp(0,atmos_h,atmos_rho)*((H19*linterp(0,atmos_h,atmos_vela))^2)*37.8)/900)</f>
        <v>-1.5</v>
      </c>
      <c r="K19">
        <v>0.42499999999999999</v>
      </c>
      <c r="L19" cm="1">
        <f t="array" ref="L19">IF((1.35*0.5*linterp(10000,atmos_h,atmos_rho)*((H19*linterp(10000,atmos_h,atmos_vela))^2)*37.8)/900&gt;6,6,(1.35*0.5*linterp(10000,atmos_h,atmos_rho)*((H19*linterp(10000,atmos_h,atmos_vela))^2)*37.8)/900)</f>
        <v>3.6610821927952353</v>
      </c>
      <c r="M19" cm="1">
        <f t="array" ref="M19">IF(-1*(1.35*0.5*linterp(10000,atmos_h,atmos_rho)*((H19*linterp(10000,atmos_h,atmos_vela))^2)*37.8)/900&lt;-1.5,-1.5,-1*(1.35*0.5*linterp(10000,atmos_h,atmos_rho)*((H19*linterp(10000,atmos_h,atmos_vela))^2)*37.8)/900)</f>
        <v>-1.5</v>
      </c>
    </row>
    <row r="20" spans="1:13" x14ac:dyDescent="0.25">
      <c r="A20">
        <v>19000</v>
      </c>
      <c r="B20" s="1" cm="1">
        <f t="array" ref="B20">C20/linterp(A20,atmos_h,atmos_vela)</f>
        <v>0.26613459622757307</v>
      </c>
      <c r="C20" s="2" cm="1">
        <f t="array" ref="C20">SQRT((2/linterp(A20,atmos_h,atmos_rho))*(900/37.8)*(1/1.35))</f>
        <v>164.12786683950659</v>
      </c>
      <c r="D20">
        <v>0.55000000000000004</v>
      </c>
      <c r="E20">
        <v>300</v>
      </c>
      <c r="F20" s="1" cm="1">
        <f t="array" ref="F20">IF(E20/linterp(A20,atmos_h,atmos_vela)&gt;D20,D20,E20/linterp(A20,atmos_h,atmos_vela))</f>
        <v>0.48645230335165635</v>
      </c>
      <c r="H20">
        <v>0.45</v>
      </c>
      <c r="I20" cm="1">
        <f t="array" ref="I20">IF((1.35*0.5*linterp(0,atmos_h,atmos_rho)*((H20*linterp(0,atmos_h,atmos_vela))^2)*37.8)/900&gt;6,6,(1.35*0.5*linterp(0,atmos_h,atmos_rho)*((H20*linterp(0,atmos_h,atmos_vela))^2)*37.8)/900)</f>
        <v>5.9699690549508473</v>
      </c>
      <c r="J20" cm="1">
        <f t="array" ref="J20">IF(-1*(1.35*0.5*linterp(0,atmos_h,atmos_rho)*((H20*linterp(0,atmos_h,atmos_vela))^2)*37.8)/900&lt;-1.5,-1.5,-1*(1.35*0.5*linterp(0,atmos_h,atmos_rho)*((H20*linterp(0,atmos_h,atmos_vela))^2)*37.8)/900)</f>
        <v>-1.5</v>
      </c>
      <c r="K20">
        <v>0.45</v>
      </c>
      <c r="L20" cm="1">
        <f t="array" ref="L20">IF((1.35*0.5*linterp(10000,atmos_h,atmos_rho)*((H20*linterp(10000,atmos_h,atmos_vela))^2)*37.8)/900&gt;6,6,(1.35*0.5*linterp(10000,atmos_h,atmos_rho)*((H20*linterp(10000,atmos_h,atmos_vela))^2)*37.8)/900)</f>
        <v>4.1044658493621338</v>
      </c>
      <c r="M20" cm="1">
        <f t="array" ref="M20">IF(-1*(1.35*0.5*linterp(10000,atmos_h,atmos_rho)*((H20*linterp(10000,atmos_h,atmos_vela))^2)*37.8)/900&lt;-1.5,-1.5,-1*(1.35*0.5*linterp(10000,atmos_h,atmos_rho)*((H20*linterp(10000,atmos_h,atmos_vela))^2)*37.8)/900)</f>
        <v>-1.5</v>
      </c>
    </row>
    <row r="21" spans="1:13" x14ac:dyDescent="0.25">
      <c r="A21">
        <v>20000</v>
      </c>
      <c r="B21" s="1" cm="1">
        <f t="array" ref="B21">C21/linterp(A21,atmos_h,atmos_vela)</f>
        <v>0.27166689274351447</v>
      </c>
      <c r="C21" s="2" cm="1">
        <f t="array" ref="C21">SQRT((2/linterp(A21,atmos_h,atmos_rho))*(900/37.8)*(1/1.35))</f>
        <v>166.88768888126836</v>
      </c>
      <c r="D21">
        <v>0.55000000000000004</v>
      </c>
      <c r="E21">
        <v>300</v>
      </c>
      <c r="F21" s="1" cm="1">
        <f t="array" ref="F21">IF(E21/linterp(A21,atmos_h,atmos_vela)&gt;D21,D21,E21/linterp(A21,atmos_h,atmos_vela))</f>
        <v>0.48835278605264448</v>
      </c>
      <c r="H21">
        <v>0.47499999999999998</v>
      </c>
      <c r="I21" cm="1">
        <f t="array" ref="I21">IF((1.35*0.5*linterp(0,atmos_h,atmos_rho)*((H21*linterp(0,atmos_h,atmos_vela))^2)*37.8)/900&gt;6,6,(1.35*0.5*linterp(0,atmos_h,atmos_rho)*((H21*linterp(0,atmos_h,atmos_vela))^2)*37.8)/900)</f>
        <v>6</v>
      </c>
      <c r="J21" cm="1">
        <f t="array" ref="J21">IF(-1*(1.35*0.5*linterp(0,atmos_h,atmos_rho)*((H21*linterp(0,atmos_h,atmos_vela))^2)*37.8)/900&lt;-1.5,-1.5,-1*(1.35*0.5*linterp(0,atmos_h,atmos_rho)*((H21*linterp(0,atmos_h,atmos_vela))^2)*37.8)/900)</f>
        <v>-1.5</v>
      </c>
      <c r="K21">
        <v>0.47499999999999998</v>
      </c>
      <c r="L21" cm="1">
        <f t="array" ref="L21">IF((1.35*0.5*linterp(10000,atmos_h,atmos_rho)*((H21*linterp(10000,atmos_h,atmos_vela))^2)*37.8)/900&gt;6,6,(1.35*0.5*linterp(10000,atmos_h,atmos_rho)*((H21*linterp(10000,atmos_h,atmos_vela))^2)*37.8)/900)</f>
        <v>4.5731857148757102</v>
      </c>
      <c r="M21" cm="1">
        <f t="array" ref="M21">IF(-1*(1.35*0.5*linterp(10000,atmos_h,atmos_rho)*((H21*linterp(10000,atmos_h,atmos_vela))^2)*37.8)/900&lt;-1.5,-1.5,-1*(1.35*0.5*linterp(10000,atmos_h,atmos_rho)*((H21*linterp(10000,atmos_h,atmos_vela))^2)*37.8)/900)</f>
        <v>-1.5</v>
      </c>
    </row>
    <row r="22" spans="1:13" x14ac:dyDescent="0.25">
      <c r="A22">
        <v>21000</v>
      </c>
      <c r="B22" s="1" cm="1">
        <f t="array" ref="B22">C22/linterp(A22,atmos_h,atmos_vela)</f>
        <v>0.27745876024438726</v>
      </c>
      <c r="C22" s="2" cm="1">
        <f t="array" ref="C22">SQRT((2/linterp(A22,atmos_h,atmos_rho))*(900/37.8)*(1/1.35))</f>
        <v>169.76036786792591</v>
      </c>
      <c r="D22">
        <v>0.55000000000000004</v>
      </c>
      <c r="E22">
        <v>300</v>
      </c>
      <c r="F22" s="1" cm="1">
        <f t="array" ref="F22">IF(E22/linterp(A22,atmos_h,atmos_vela)&gt;D22,D22,E22/linterp(A22,atmos_h,atmos_vela))</f>
        <v>0.49032426778242677</v>
      </c>
      <c r="H22">
        <v>0.5</v>
      </c>
      <c r="I22" cm="1">
        <f t="array" ref="I22">IF((1.35*0.5*linterp(0,atmos_h,atmos_rho)*((H22*linterp(0,atmos_h,atmos_vela))^2)*37.8)/900&gt;6,6,(1.35*0.5*linterp(0,atmos_h,atmos_rho)*((H22*linterp(0,atmos_h,atmos_vela))^2)*37.8)/900)</f>
        <v>6</v>
      </c>
      <c r="J22" cm="1">
        <f t="array" ref="J22">IF(-1*(1.35*0.5*linterp(0,atmos_h,atmos_rho)*((H22*linterp(0,atmos_h,atmos_vela))^2)*37.8)/900&lt;-1.5,-1.5,-1*(1.35*0.5*linterp(0,atmos_h,atmos_rho)*((H22*linterp(0,atmos_h,atmos_vela))^2)*37.8)/900)</f>
        <v>-1.5</v>
      </c>
      <c r="K22">
        <v>0.5</v>
      </c>
      <c r="L22" cm="1">
        <f t="array" ref="L22">IF((1.35*0.5*linterp(10000,atmos_h,atmos_rho)*((H22*linterp(10000,atmos_h,atmos_vela))^2)*37.8)/900&gt;6,6,(1.35*0.5*linterp(10000,atmos_h,atmos_rho)*((H22*linterp(10000,atmos_h,atmos_vela))^2)*37.8)/900)</f>
        <v>5.0672417893359674</v>
      </c>
      <c r="M22" cm="1">
        <f t="array" ref="M22">IF(-1*(1.35*0.5*linterp(10000,atmos_h,atmos_rho)*((H22*linterp(10000,atmos_h,atmos_vela))^2)*37.8)/900&lt;-1.5,-1.5,-1*(1.35*0.5*linterp(10000,atmos_h,atmos_rho)*((H22*linterp(10000,atmos_h,atmos_vela))^2)*37.8)/900)</f>
        <v>-1.5</v>
      </c>
    </row>
    <row r="23" spans="1:13" x14ac:dyDescent="0.25">
      <c r="A23">
        <v>22000</v>
      </c>
      <c r="B23" s="1" cm="1">
        <f t="array" ref="B23">C23/linterp(A23,atmos_h,atmos_vela)</f>
        <v>0.28344149088811599</v>
      </c>
      <c r="C23" s="2" cm="1">
        <f t="array" ref="C23">SQRT((2/linterp(A23,atmos_h,atmos_rho))*(900/37.8)*(1/1.35))</f>
        <v>172.71507247267348</v>
      </c>
      <c r="D23">
        <v>0.55000000000000004</v>
      </c>
      <c r="E23">
        <v>300</v>
      </c>
      <c r="F23" s="1" cm="1">
        <f t="array" ref="F23">IF(E23/linterp(A23,atmos_h,atmos_vela)&gt;D23,D23,E23/linterp(A23,atmos_h,atmos_vela))</f>
        <v>0.49232789037498975</v>
      </c>
      <c r="H23">
        <v>0.52500000000000002</v>
      </c>
      <c r="I23" cm="1">
        <f t="array" ref="I23">IF((1.35*0.5*linterp(0,atmos_h,atmos_rho)*((H23*linterp(0,atmos_h,atmos_vela))^2)*37.8)/900&gt;6,6,(1.35*0.5*linterp(0,atmos_h,atmos_rho)*((H23*linterp(0,atmos_h,atmos_vela))^2)*37.8)/900)</f>
        <v>6</v>
      </c>
      <c r="J23" cm="1">
        <f t="array" ref="J23">IF(-1*(1.35*0.5*linterp(0,atmos_h,atmos_rho)*((H23*linterp(0,atmos_h,atmos_vela))^2)*37.8)/900&lt;-1.5,-1.5,-1*(1.35*0.5*linterp(0,atmos_h,atmos_rho)*((H23*linterp(0,atmos_h,atmos_vela))^2)*37.8)/900)</f>
        <v>-1.5</v>
      </c>
      <c r="K23">
        <v>0.52500000000000002</v>
      </c>
      <c r="L23" cm="1">
        <f t="array" ref="L23">IF((1.35*0.5*linterp(10000,atmos_h,atmos_rho)*((H23*linterp(10000,atmos_h,atmos_vela))^2)*37.8)/900&gt;6,6,(1.35*0.5*linterp(10000,atmos_h,atmos_rho)*((H23*linterp(10000,atmos_h,atmos_vela))^2)*37.8)/900)</f>
        <v>5.5866340727429025</v>
      </c>
      <c r="M23" cm="1">
        <f t="array" ref="M23">IF(-1*(1.35*0.5*linterp(10000,atmos_h,atmos_rho)*((H23*linterp(10000,atmos_h,atmos_vela))^2)*37.8)/900&lt;-1.5,-1.5,-1*(1.35*0.5*linterp(10000,atmos_h,atmos_rho)*((H23*linterp(10000,atmos_h,atmos_vela))^2)*37.8)/900)</f>
        <v>-1.5</v>
      </c>
    </row>
    <row r="24" spans="1:13" x14ac:dyDescent="0.25">
      <c r="A24">
        <v>23000</v>
      </c>
      <c r="B24" s="1" cm="1">
        <f t="array" ref="B24">C24/linterp(A24,atmos_h,atmos_vela)</f>
        <v>0.28950769636009005</v>
      </c>
      <c r="C24" s="2" cm="1">
        <f t="array" ref="C24">SQRT((2/linterp(A24,atmos_h,atmos_rho))*(900/37.8)*(1/1.35))</f>
        <v>175.70801107486585</v>
      </c>
      <c r="D24">
        <v>0.55000000000000004</v>
      </c>
      <c r="E24">
        <v>300</v>
      </c>
      <c r="F24" s="1" cm="1">
        <f t="array" ref="F24">IF(E24/linterp(A24,atmos_h,atmos_vela)&gt;D24,D24,E24/linterp(A24,atmos_h,atmos_vela))</f>
        <v>0.49429908389903121</v>
      </c>
      <c r="H24">
        <v>0.55000000000000004</v>
      </c>
      <c r="I24" cm="1">
        <f t="array" ref="I24">IF((1.35*0.5*linterp(0,atmos_h,atmos_rho)*((H24*linterp(0,atmos_h,atmos_vela))^2)*37.8)/900&gt;6,6,(1.35*0.5*linterp(0,atmos_h,atmos_rho)*((H24*linterp(0,atmos_h,atmos_vela))^2)*37.8)/900)</f>
        <v>6</v>
      </c>
      <c r="J24" cm="1">
        <f t="array" ref="J24">IF(-1*(1.35*0.5*linterp(0,atmos_h,atmos_rho)*((H24*linterp(0,atmos_h,atmos_vela))^2)*37.8)/900&lt;-1.5,-1.5,-1*(1.35*0.5*linterp(0,atmos_h,atmos_rho)*((H24*linterp(0,atmos_h,atmos_vela))^2)*37.8)/900)</f>
        <v>-1.5</v>
      </c>
      <c r="K24">
        <v>0.55000000000000004</v>
      </c>
      <c r="L24" cm="1">
        <f t="array" ref="L24">IF((1.35*0.5*linterp(10000,atmos_h,atmos_rho)*((H24*linterp(10000,atmos_h,atmos_vela))^2)*37.8)/900&gt;6,6,(1.35*0.5*linterp(10000,atmos_h,atmos_rho)*((H24*linterp(10000,atmos_h,atmos_vela))^2)*37.8)/900)</f>
        <v>6</v>
      </c>
      <c r="M24" cm="1">
        <f t="array" ref="M24">IF(-1*(1.35*0.5*linterp(10000,atmos_h,atmos_rho)*((H24*linterp(10000,atmos_h,atmos_vela))^2)*37.8)/900&lt;-1.5,-1.5,-1*(1.35*0.5*linterp(10000,atmos_h,atmos_rho)*((H24*linterp(10000,atmos_h,atmos_vela))^2)*37.8)/900)</f>
        <v>-1.5</v>
      </c>
    </row>
    <row r="25" spans="1:13" x14ac:dyDescent="0.25">
      <c r="A25">
        <v>24000</v>
      </c>
      <c r="B25" s="1" cm="1">
        <f t="array" ref="B25">C25/linterp(A25,atmos_h,atmos_vela)</f>
        <v>0.29582031296031996</v>
      </c>
      <c r="C25" s="2" cm="1">
        <f t="array" ref="C25">SQRT((2/linterp(A25,atmos_h,atmos_rho))*(900/37.8)*(1/1.35))</f>
        <v>178.79971355947657</v>
      </c>
      <c r="D25">
        <v>0.55000000000000004</v>
      </c>
      <c r="E25">
        <v>300</v>
      </c>
      <c r="F25" s="1" cm="1">
        <f t="array" ref="F25">IF(E25/linterp(A25,atmos_h,atmos_vela)&gt;D25,D25,E25/linterp(A25,atmos_h,atmos_vela))</f>
        <v>0.49634360213096856</v>
      </c>
      <c r="H25">
        <v>0.57499999999999996</v>
      </c>
      <c r="I25" cm="1">
        <f t="array" ref="I25">IF((1.35*0.5*linterp(0,atmos_h,atmos_rho)*((H25*linterp(0,atmos_h,atmos_vela))^2)*37.8)/900&gt;6,6,(1.35*0.5*linterp(0,atmos_h,atmos_rho)*((H25*linterp(0,atmos_h,atmos_vela))^2)*37.8)/900)</f>
        <v>6</v>
      </c>
      <c r="J25" cm="1">
        <f t="array" ref="J25">IF(-1*(1.35*0.5*linterp(0,atmos_h,atmos_rho)*((H25*linterp(0,atmos_h,atmos_vela))^2)*37.8)/900&lt;-1.5,-1.5,-1*(1.35*0.5*linterp(0,atmos_h,atmos_rho)*((H25*linterp(0,atmos_h,atmos_vela))^2)*37.8)/900)</f>
        <v>-1.5</v>
      </c>
      <c r="K25">
        <v>0.57499999999999996</v>
      </c>
      <c r="L25" cm="1">
        <f t="array" ref="L25">IF((1.35*0.5*linterp(10000,atmos_h,atmos_rho)*((H25*linterp(10000,atmos_h,atmos_vela))^2)*37.8)/900&gt;6,6,(1.35*0.5*linterp(10000,atmos_h,atmos_rho)*((H25*linterp(10000,atmos_h,atmos_vela))^2)*37.8)/900)</f>
        <v>6</v>
      </c>
      <c r="M25" cm="1">
        <f t="array" ref="M25">IF(-1*(1.35*0.5*linterp(10000,atmos_h,atmos_rho)*((H25*linterp(10000,atmos_h,atmos_vela))^2)*37.8)/900&lt;-1.5,-1.5,-1*(1.35*0.5*linterp(10000,atmos_h,atmos_rho)*((H25*linterp(10000,atmos_h,atmos_vela))^2)*37.8)/900)</f>
        <v>-1.5</v>
      </c>
    </row>
    <row r="26" spans="1:13" x14ac:dyDescent="0.25">
      <c r="A26">
        <v>25000</v>
      </c>
      <c r="B26" s="1" cm="1">
        <f t="array" ref="B26">C26/linterp(A26,atmos_h,atmos_vela)</f>
        <v>0.30224537619114528</v>
      </c>
      <c r="C26" s="2" cm="1">
        <f t="array" ref="C26">SQRT((2/linterp(A26,atmos_h,atmos_rho))*(900/37.8)*(1/1.35))</f>
        <v>181.94264910578372</v>
      </c>
      <c r="D26">
        <v>0.55000000000000004</v>
      </c>
      <c r="E26">
        <v>300</v>
      </c>
      <c r="F26" s="1" cm="1">
        <f t="array" ref="F26">IF(E26/linterp(A26,atmos_h,atmos_vela)&gt;D26,D26,E26/linterp(A26,atmos_h,atmos_vela))</f>
        <v>0.49836370583251655</v>
      </c>
      <c r="H26">
        <v>0.6</v>
      </c>
      <c r="I26" cm="1">
        <f t="array" ref="I26">IF((1.35*0.5*linterp(0,atmos_h,atmos_rho)*((H26*linterp(0,atmos_h,atmos_vela))^2)*37.8)/900&gt;6,6,(1.35*0.5*linterp(0,atmos_h,atmos_rho)*((H26*linterp(0,atmos_h,atmos_vela))^2)*37.8)/900)</f>
        <v>6</v>
      </c>
      <c r="J26" cm="1">
        <f t="array" ref="J26">IF(-1*(1.35*0.5*linterp(0,atmos_h,atmos_rho)*((H26*linterp(0,atmos_h,atmos_vela))^2)*37.8)/900&lt;-1.5,-1.5,-1*(1.35*0.5*linterp(0,atmos_h,atmos_rho)*((H26*linterp(0,atmos_h,atmos_vela))^2)*37.8)/900)</f>
        <v>-1.5</v>
      </c>
      <c r="K26">
        <v>0.6</v>
      </c>
      <c r="L26" cm="1">
        <f t="array" ref="L26">IF((1.35*0.5*linterp(10000,atmos_h,atmos_rho)*((H26*linterp(10000,atmos_h,atmos_vela))^2)*37.8)/900&gt;6,6,(1.35*0.5*linterp(10000,atmos_h,atmos_rho)*((H26*linterp(10000,atmos_h,atmos_vela))^2)*37.8)/900)</f>
        <v>6</v>
      </c>
      <c r="M26" cm="1">
        <f t="array" ref="M26">IF(-1*(1.35*0.5*linterp(10000,atmos_h,atmos_rho)*((H26*linterp(10000,atmos_h,atmos_vela))^2)*37.8)/900&lt;-1.5,-1.5,-1*(1.35*0.5*linterp(10000,atmos_h,atmos_rho)*((H26*linterp(10000,atmos_h,atmos_vela))^2)*37.8)/900)</f>
        <v>-1.5</v>
      </c>
    </row>
    <row r="27" spans="1:13" x14ac:dyDescent="0.25">
      <c r="A27">
        <v>26000</v>
      </c>
      <c r="B27" s="1" cm="1">
        <f t="array" ref="B27">C27/linterp(A27,atmos_h,atmos_vela)</f>
        <v>0.30897708950435793</v>
      </c>
      <c r="C27" s="2" cm="1">
        <f t="array" ref="C27">SQRT((2/linterp(A27,atmos_h,atmos_rho))*(900/37.8)*(1/1.35))</f>
        <v>185.21322653249234</v>
      </c>
      <c r="D27">
        <v>0.55000000000000004</v>
      </c>
      <c r="E27">
        <v>300</v>
      </c>
      <c r="F27" s="1" cm="1">
        <f t="array" ref="F27">IF(E27/linterp(A27,atmos_h,atmos_vela)&gt;D27,D27,E27/linterp(A27,atmos_h,atmos_vela))</f>
        <v>0.50046710262912042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C4597-E842-4D25-BAAA-4F3D7572B318}">
  <dimension ref="A1"/>
  <sheetViews>
    <sheetView tabSelected="1" workbookViewId="0">
      <selection activeCell="U10" sqref="U10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Altitude Table</vt:lpstr>
      <vt:lpstr>Sheet1</vt:lpstr>
      <vt:lpstr>Chart A</vt:lpstr>
      <vt:lpstr>atmos_aspeed</vt:lpstr>
      <vt:lpstr>atmos_dr</vt:lpstr>
      <vt:lpstr>atmos_h</vt:lpstr>
      <vt:lpstr>atmos_qms</vt:lpstr>
      <vt:lpstr>atmos_rho</vt:lpstr>
      <vt:lpstr>atmos_sqrtdr</vt:lpstr>
      <vt:lpstr>atmos_vela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2024-02-01T21:35:11Z</dcterms:modified>
</cp:coreProperties>
</file>