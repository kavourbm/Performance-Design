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C09F97AC-9969-43C8-B3B6-B195FDC69736}" xr6:coauthVersionLast="47" xr6:coauthVersionMax="47" xr10:uidLastSave="{00000000-0000-0000-0000-000000000000}"/>
  <bookViews>
    <workbookView xWindow="14295" yWindow="0" windowWidth="14610" windowHeight="17505" firstSheet="1" activeTab="4" xr2:uid="{00000000-000D-0000-FFFF-FFFF00000000}"/>
  </bookViews>
  <sheets>
    <sheet name="Altitude Table" sheetId="2" r:id="rId1"/>
    <sheet name="Numbers" sheetId="1" r:id="rId2"/>
    <sheet name="Chart A" sheetId="3" r:id="rId3"/>
    <sheet name="Chart B" sheetId="4" r:id="rId4"/>
    <sheet name="Chart C" sheetId="5" r:id="rId5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ExternalData_1" localSheetId="0" hidden="1">'Altitude Table'!$A$1:$O$62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 a="1"/>
  <c r="I2" i="1"/>
  <c r="I3" i="1" a="1"/>
  <c r="I3" i="1"/>
  <c r="I4" i="1" a="1"/>
  <c r="I4" i="1"/>
  <c r="I5" i="1" a="1"/>
  <c r="I5" i="1"/>
  <c r="I6" i="1" a="1"/>
  <c r="I6" i="1"/>
  <c r="I7" i="1" a="1"/>
  <c r="I7" i="1"/>
  <c r="I8" i="1" a="1"/>
  <c r="I8" i="1"/>
  <c r="I9" i="1" a="1"/>
  <c r="I9" i="1"/>
  <c r="I10" i="1" a="1"/>
  <c r="I10" i="1"/>
  <c r="I11" i="1" a="1"/>
  <c r="I11" i="1"/>
  <c r="I12" i="1" a="1"/>
  <c r="I12" i="1"/>
  <c r="I13" i="1" a="1"/>
  <c r="I13" i="1"/>
  <c r="I14" i="1" a="1"/>
  <c r="I14" i="1"/>
  <c r="I15" i="1" a="1"/>
  <c r="I15" i="1"/>
  <c r="I16" i="1" a="1"/>
  <c r="I16" i="1"/>
  <c r="I17" i="1" a="1"/>
  <c r="I17" i="1"/>
  <c r="I18" i="1" a="1"/>
  <c r="I18" i="1"/>
  <c r="I19" i="1" a="1"/>
  <c r="I19" i="1"/>
  <c r="I20" i="1" a="1"/>
  <c r="I20" i="1"/>
  <c r="I21" i="1" a="1"/>
  <c r="I21" i="1"/>
  <c r="I22" i="1" a="1"/>
  <c r="I22" i="1"/>
  <c r="I23" i="1" a="1"/>
  <c r="I23" i="1"/>
  <c r="I24" i="1" a="1"/>
  <c r="I24" i="1"/>
  <c r="I25" i="1" a="1"/>
  <c r="I25" i="1"/>
  <c r="I26" i="1" a="1"/>
  <c r="I26" i="1"/>
  <c r="I27" i="1" a="1"/>
  <c r="I27" i="1"/>
  <c r="I28" i="1" a="1"/>
  <c r="I28" i="1"/>
  <c r="I29" i="1" a="1"/>
  <c r="I29" i="1"/>
  <c r="I30" i="1" a="1"/>
  <c r="I30" i="1"/>
  <c r="C2" i="1" a="1"/>
  <c r="C2" i="1" l="1"/>
  <c r="I31" i="1" a="1"/>
  <c r="I31" i="1"/>
  <c r="I32" i="1" a="1"/>
  <c r="I32" i="1"/>
  <c r="I33" i="1" a="1"/>
  <c r="I33" i="1"/>
  <c r="I34" i="1" a="1"/>
  <c r="I34" i="1"/>
  <c r="I35" i="1" a="1"/>
  <c r="I35" i="1"/>
  <c r="I36" i="1" a="1"/>
  <c r="I36" i="1"/>
  <c r="I37" i="1" a="1"/>
  <c r="I37" i="1"/>
  <c r="I38" i="1" a="1"/>
  <c r="I38" i="1"/>
  <c r="I39" i="1" a="1"/>
  <c r="I39" i="1"/>
  <c r="I40" i="1" a="1"/>
  <c r="I40" i="1"/>
  <c r="I41" i="1" a="1"/>
  <c r="I41" i="1"/>
  <c r="I42" i="1" a="1"/>
  <c r="I42" i="1"/>
  <c r="I43" i="1" a="1"/>
  <c r="I43" i="1" s="1"/>
  <c r="I44" i="1" a="1"/>
  <c r="I44" i="1"/>
  <c r="I45" i="1" a="1"/>
  <c r="I45" i="1"/>
  <c r="I46" i="1" a="1"/>
  <c r="I46" i="1"/>
  <c r="I47" i="1" a="1"/>
  <c r="I47" i="1"/>
  <c r="I48" i="1" a="1"/>
  <c r="I48" i="1"/>
  <c r="I49" i="1" a="1"/>
  <c r="I49" i="1" s="1"/>
  <c r="I50" i="1" a="1"/>
  <c r="I50" i="1" s="1"/>
  <c r="N50" i="1" a="1"/>
  <c r="N50" i="1" s="1"/>
  <c r="M50" i="1" a="1"/>
  <c r="M50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N3" i="1" a="1"/>
  <c r="N15" i="1" a="1"/>
  <c r="N27" i="1" a="1"/>
  <c r="N39" i="1" a="1"/>
  <c r="N32" i="1" a="1"/>
  <c r="N10" i="1" a="1"/>
  <c r="N28" i="1" a="1"/>
  <c r="N40" i="1" a="1"/>
  <c r="N20" i="1" a="1"/>
  <c r="N4" i="1" a="1"/>
  <c r="N16" i="1" a="1"/>
  <c r="N22" i="1" a="1"/>
  <c r="N34" i="1" a="1"/>
  <c r="N46" i="1" a="1"/>
  <c r="N11" i="1" a="1"/>
  <c r="N29" i="1" a="1"/>
  <c r="N41" i="1" a="1"/>
  <c r="N14" i="1" a="1"/>
  <c r="N5" i="1" a="1"/>
  <c r="N17" i="1" a="1"/>
  <c r="N23" i="1" a="1"/>
  <c r="N35" i="1" a="1"/>
  <c r="N47" i="1" a="1"/>
  <c r="N26" i="1" a="1"/>
  <c r="N12" i="1" a="1"/>
  <c r="N30" i="1" a="1"/>
  <c r="N48" i="1" a="1"/>
  <c r="N8" i="1" a="1"/>
  <c r="N6" i="1" a="1"/>
  <c r="N18" i="1" a="1"/>
  <c r="N24" i="1" a="1"/>
  <c r="N36" i="1" a="1"/>
  <c r="N42" i="1" a="1"/>
  <c r="N38" i="1" a="1"/>
  <c r="N13" i="1" a="1"/>
  <c r="N31" i="1" a="1"/>
  <c r="N43" i="1" a="1"/>
  <c r="N7" i="1" a="1"/>
  <c r="N19" i="1" a="1"/>
  <c r="N25" i="1" a="1"/>
  <c r="N37" i="1" a="1"/>
  <c r="N49" i="1" a="1"/>
  <c r="N44" i="1" a="1"/>
  <c r="N9" i="1" a="1"/>
  <c r="N21" i="1" a="1"/>
  <c r="N33" i="1" a="1"/>
  <c r="N45" i="1" a="1"/>
  <c r="N2" i="1" a="1"/>
  <c r="M3" i="1" a="1"/>
  <c r="M21" i="1" a="1"/>
  <c r="M33" i="1" a="1"/>
  <c r="M45" i="1" a="1"/>
  <c r="M10" i="1" a="1"/>
  <c r="M22" i="1" a="1"/>
  <c r="M34" i="1" a="1"/>
  <c r="M46" i="1" a="1"/>
  <c r="M5" i="1" a="1"/>
  <c r="M11" i="1" a="1"/>
  <c r="M17" i="1" a="1"/>
  <c r="M23" i="1" a="1"/>
  <c r="M29" i="1" a="1"/>
  <c r="M35" i="1" a="1"/>
  <c r="M41" i="1" a="1"/>
  <c r="M47" i="1" a="1"/>
  <c r="M48" i="1" a="1"/>
  <c r="M13" i="1" a="1"/>
  <c r="M25" i="1" a="1"/>
  <c r="M37" i="1" a="1"/>
  <c r="M49" i="1" a="1"/>
  <c r="M6" i="1" a="1"/>
  <c r="M12" i="1" a="1"/>
  <c r="M18" i="1" a="1"/>
  <c r="M24" i="1" a="1"/>
  <c r="M30" i="1" a="1"/>
  <c r="M36" i="1" a="1"/>
  <c r="M42" i="1" a="1"/>
  <c r="M7" i="1" a="1"/>
  <c r="M19" i="1" a="1"/>
  <c r="M31" i="1" a="1"/>
  <c r="M43" i="1" a="1"/>
  <c r="M8" i="1" a="1"/>
  <c r="M14" i="1" a="1"/>
  <c r="M20" i="1" a="1"/>
  <c r="M26" i="1" a="1"/>
  <c r="M32" i="1" a="1"/>
  <c r="M38" i="1" a="1"/>
  <c r="M44" i="1" a="1"/>
  <c r="M9" i="1" a="1"/>
  <c r="M15" i="1" a="1"/>
  <c r="M27" i="1" a="1"/>
  <c r="M39" i="1" a="1"/>
  <c r="M4" i="1" a="1"/>
  <c r="M16" i="1" a="1"/>
  <c r="M28" i="1" a="1"/>
  <c r="M40" i="1" a="1"/>
  <c r="M2" i="1" a="1"/>
  <c r="J38" i="1" a="1"/>
  <c r="J39" i="1" a="1"/>
  <c r="J40" i="1" a="1"/>
  <c r="J41" i="1" a="1"/>
  <c r="J36" i="1" a="1"/>
  <c r="J35" i="1" a="1"/>
  <c r="J37" i="1" a="1"/>
  <c r="J34" i="1" a="1"/>
  <c r="J3" i="1" a="1"/>
  <c r="J9" i="1" a="1"/>
  <c r="J15" i="1" a="1"/>
  <c r="J21" i="1" a="1"/>
  <c r="J27" i="1" a="1"/>
  <c r="J33" i="1" a="1"/>
  <c r="J16" i="1" a="1"/>
  <c r="J10" i="1" a="1"/>
  <c r="J22" i="1" a="1"/>
  <c r="J4" i="1" a="1"/>
  <c r="J28" i="1" a="1"/>
  <c r="J5" i="1" a="1"/>
  <c r="J17" i="1" a="1"/>
  <c r="J23" i="1" a="1"/>
  <c r="J29" i="1" a="1"/>
  <c r="J11" i="1" a="1"/>
  <c r="J12" i="1" a="1"/>
  <c r="J30" i="1" a="1"/>
  <c r="J25" i="1" a="1"/>
  <c r="J6" i="1" a="1"/>
  <c r="J18" i="1" a="1"/>
  <c r="J24" i="1" a="1"/>
  <c r="J13" i="1" a="1"/>
  <c r="J19" i="1" a="1"/>
  <c r="J31" i="1" a="1"/>
  <c r="J26" i="1" a="1"/>
  <c r="J7" i="1" a="1"/>
  <c r="J8" i="1" a="1"/>
  <c r="J14" i="1" a="1"/>
  <c r="J20" i="1" a="1"/>
  <c r="J32" i="1" a="1"/>
  <c r="J2" i="1" a="1"/>
  <c r="H54" i="1" a="1"/>
  <c r="E32" i="1" a="1"/>
  <c r="E35" i="1" a="1"/>
  <c r="E38" i="1" a="1"/>
  <c r="E41" i="1" a="1"/>
  <c r="E44" i="1" a="1"/>
  <c r="E47" i="1" a="1"/>
  <c r="E50" i="1" a="1"/>
  <c r="E56" i="1" a="1"/>
  <c r="E83" i="1" a="1"/>
  <c r="E92" i="1" a="1"/>
  <c r="E98" i="1" a="1"/>
  <c r="E104" i="1" a="1"/>
  <c r="C91" i="1" a="1"/>
  <c r="C100" i="1" a="1"/>
  <c r="C53" i="1" a="1"/>
  <c r="C83" i="1" a="1"/>
  <c r="C34" i="1" a="1"/>
  <c r="C46" i="1" a="1"/>
  <c r="C58" i="1" a="1"/>
  <c r="C64" i="1" a="1"/>
  <c r="C70" i="1" a="1"/>
  <c r="C76" i="1" a="1"/>
  <c r="C79" i="1" a="1"/>
  <c r="C88" i="1" a="1"/>
  <c r="C94" i="1" a="1"/>
  <c r="C95" i="1" a="1"/>
  <c r="C31" i="1" a="1"/>
  <c r="C37" i="1" a="1"/>
  <c r="C40" i="1" a="1"/>
  <c r="C43" i="1" a="1"/>
  <c r="C49" i="1" a="1"/>
  <c r="C52" i="1" a="1"/>
  <c r="C55" i="1" a="1"/>
  <c r="C61" i="1" a="1"/>
  <c r="C67" i="1" a="1"/>
  <c r="C73" i="1" a="1"/>
  <c r="C82" i="1" a="1"/>
  <c r="C97" i="1" a="1"/>
  <c r="E70" i="1" a="1"/>
  <c r="E85" i="1" a="1"/>
  <c r="E91" i="1" a="1"/>
  <c r="E97" i="1" a="1"/>
  <c r="E100" i="1" a="1"/>
  <c r="C93" i="1" a="1"/>
  <c r="C102" i="1" a="1"/>
  <c r="C38" i="1" a="1"/>
  <c r="C65" i="1" a="1"/>
  <c r="C77" i="1" a="1"/>
  <c r="C98" i="1" a="1"/>
  <c r="E31" i="1" a="1"/>
  <c r="E34" i="1" a="1"/>
  <c r="E37" i="1" a="1"/>
  <c r="E40" i="1" a="1"/>
  <c r="E43" i="1" a="1"/>
  <c r="E46" i="1" a="1"/>
  <c r="E49" i="1" a="1"/>
  <c r="E52" i="1" a="1"/>
  <c r="E55" i="1" a="1"/>
  <c r="E58" i="1" a="1"/>
  <c r="E61" i="1" a="1"/>
  <c r="E64" i="1" a="1"/>
  <c r="E67" i="1" a="1"/>
  <c r="E73" i="1" a="1"/>
  <c r="E76" i="1" a="1"/>
  <c r="E79" i="1" a="1"/>
  <c r="E82" i="1" a="1"/>
  <c r="E88" i="1" a="1"/>
  <c r="E94" i="1" a="1"/>
  <c r="E103" i="1" a="1"/>
  <c r="C96" i="1" a="1"/>
  <c r="C47" i="1" a="1"/>
  <c r="C74" i="1" a="1"/>
  <c r="C104" i="1" a="1"/>
  <c r="C33" i="1" a="1"/>
  <c r="C39" i="1" a="1"/>
  <c r="C45" i="1" a="1"/>
  <c r="C48" i="1" a="1"/>
  <c r="C54" i="1" a="1"/>
  <c r="C60" i="1" a="1"/>
  <c r="C66" i="1" a="1"/>
  <c r="C69" i="1" a="1"/>
  <c r="C72" i="1" a="1"/>
  <c r="C78" i="1" a="1"/>
  <c r="C84" i="1" a="1"/>
  <c r="C87" i="1" a="1"/>
  <c r="C99" i="1" a="1"/>
  <c r="C105" i="1" a="1"/>
  <c r="C50" i="1" a="1"/>
  <c r="C68" i="1" a="1"/>
  <c r="C92" i="1" a="1"/>
  <c r="C36" i="1" a="1"/>
  <c r="C42" i="1" a="1"/>
  <c r="C51" i="1" a="1"/>
  <c r="C57" i="1" a="1"/>
  <c r="C63" i="1" a="1"/>
  <c r="C75" i="1" a="1"/>
  <c r="C81" i="1" a="1"/>
  <c r="C90" i="1" a="1"/>
  <c r="C35" i="1" a="1"/>
  <c r="C44" i="1" a="1"/>
  <c r="C62" i="1" a="1"/>
  <c r="C80" i="1" a="1"/>
  <c r="C101" i="1" a="1"/>
  <c r="E33" i="1" a="1"/>
  <c r="E39" i="1" a="1"/>
  <c r="E42" i="1" a="1"/>
  <c r="E45" i="1" a="1"/>
  <c r="E48" i="1" a="1"/>
  <c r="E54" i="1" a="1"/>
  <c r="E57" i="1" a="1"/>
  <c r="E63" i="1" a="1"/>
  <c r="E69" i="1" a="1"/>
  <c r="E75" i="1" a="1"/>
  <c r="E81" i="1" a="1"/>
  <c r="E84" i="1" a="1"/>
  <c r="E90" i="1" a="1"/>
  <c r="E96" i="1" a="1"/>
  <c r="E102" i="1" a="1"/>
  <c r="C89" i="1" a="1"/>
  <c r="E36" i="1" a="1"/>
  <c r="E51" i="1" a="1"/>
  <c r="E60" i="1" a="1"/>
  <c r="E66" i="1" a="1"/>
  <c r="E72" i="1" a="1"/>
  <c r="E78" i="1" a="1"/>
  <c r="E87" i="1" a="1"/>
  <c r="E93" i="1" a="1"/>
  <c r="E99" i="1" a="1"/>
  <c r="E105" i="1" a="1"/>
  <c r="C41" i="1" a="1"/>
  <c r="C71" i="1" a="1"/>
  <c r="C32" i="1" a="1"/>
  <c r="C56" i="1" a="1"/>
  <c r="E53" i="1" a="1"/>
  <c r="E59" i="1" a="1"/>
  <c r="E62" i="1" a="1"/>
  <c r="E65" i="1" a="1"/>
  <c r="E68" i="1" a="1"/>
  <c r="E71" i="1" a="1"/>
  <c r="E74" i="1" a="1"/>
  <c r="E77" i="1" a="1"/>
  <c r="E80" i="1" a="1"/>
  <c r="E86" i="1" a="1"/>
  <c r="E89" i="1" a="1"/>
  <c r="E95" i="1" a="1"/>
  <c r="E101" i="1" a="1"/>
  <c r="C85" i="1" a="1"/>
  <c r="C103" i="1" a="1"/>
  <c r="C59" i="1" a="1"/>
  <c r="C86" i="1" a="1"/>
  <c r="F2" i="1" a="1"/>
  <c r="F4" i="1" a="1"/>
  <c r="F3" i="1" a="1"/>
  <c r="E4" i="1" a="1"/>
  <c r="E2" i="1" a="1"/>
  <c r="E3" i="1" a="1"/>
  <c r="C4" i="1" a="1"/>
  <c r="C3" i="1" a="1"/>
  <c r="E6" i="1" a="1"/>
  <c r="E12" i="1" a="1"/>
  <c r="E18" i="1" a="1"/>
  <c r="E24" i="1" a="1"/>
  <c r="E30" i="1" a="1"/>
  <c r="E27" i="1" a="1"/>
  <c r="E7" i="1" a="1"/>
  <c r="E13" i="1" a="1"/>
  <c r="E19" i="1" a="1"/>
  <c r="E25" i="1" a="1"/>
  <c r="E20" i="1" a="1"/>
  <c r="E26" i="1" a="1"/>
  <c r="E21" i="1" a="1"/>
  <c r="E22" i="1" a="1"/>
  <c r="E23" i="1" a="1"/>
  <c r="E14" i="1" a="1"/>
  <c r="E10" i="1" a="1"/>
  <c r="E8" i="1" a="1"/>
  <c r="E28" i="1" a="1"/>
  <c r="E9" i="1" a="1"/>
  <c r="E16" i="1" a="1"/>
  <c r="E17" i="1" a="1"/>
  <c r="E15" i="1" a="1"/>
  <c r="E29" i="1" a="1"/>
  <c r="E11" i="1" a="1"/>
  <c r="E5" i="1" a="1"/>
  <c r="C19" i="1" a="1"/>
  <c r="C16" i="1" a="1"/>
  <c r="C28" i="1" a="1"/>
  <c r="C27" i="1" a="1"/>
  <c r="C10" i="1" a="1"/>
  <c r="C23" i="1" a="1"/>
  <c r="C7" i="1" a="1"/>
  <c r="C8" i="1" a="1"/>
  <c r="C11" i="1" a="1"/>
  <c r="C17" i="1" a="1"/>
  <c r="C6" i="1" a="1"/>
  <c r="C14" i="1" a="1"/>
  <c r="C24" i="1" a="1"/>
  <c r="C30" i="1" a="1"/>
  <c r="C15" i="1" a="1"/>
  <c r="C12" i="1" a="1"/>
  <c r="C20" i="1" a="1"/>
  <c r="C5" i="1" a="1"/>
  <c r="C22" i="1" a="1"/>
  <c r="C25" i="1" a="1"/>
  <c r="C9" i="1" a="1"/>
  <c r="C18" i="1" a="1"/>
  <c r="C26" i="1" a="1"/>
  <c r="C21" i="1" a="1"/>
  <c r="C13" i="1" a="1"/>
  <c r="C29" i="1" a="1"/>
  <c r="N45" i="1" l="1"/>
  <c r="N33" i="1"/>
  <c r="N21" i="1"/>
  <c r="N9" i="1"/>
  <c r="N44" i="1"/>
  <c r="N49" i="1"/>
  <c r="N37" i="1"/>
  <c r="N25" i="1"/>
  <c r="N19" i="1"/>
  <c r="N7" i="1"/>
  <c r="N43" i="1"/>
  <c r="N31" i="1"/>
  <c r="N13" i="1"/>
  <c r="N38" i="1"/>
  <c r="N42" i="1"/>
  <c r="N36" i="1"/>
  <c r="N24" i="1"/>
  <c r="N18" i="1"/>
  <c r="N6" i="1"/>
  <c r="N8" i="1"/>
  <c r="N48" i="1"/>
  <c r="N30" i="1"/>
  <c r="N12" i="1"/>
  <c r="N26" i="1"/>
  <c r="N47" i="1"/>
  <c r="N35" i="1"/>
  <c r="N23" i="1"/>
  <c r="N17" i="1"/>
  <c r="N5" i="1"/>
  <c r="N14" i="1"/>
  <c r="N41" i="1"/>
  <c r="N29" i="1"/>
  <c r="N11" i="1"/>
  <c r="N46" i="1"/>
  <c r="N34" i="1"/>
  <c r="N22" i="1"/>
  <c r="N16" i="1"/>
  <c r="N4" i="1"/>
  <c r="N20" i="1"/>
  <c r="N40" i="1"/>
  <c r="N28" i="1"/>
  <c r="N10" i="1"/>
  <c r="N32" i="1"/>
  <c r="N39" i="1"/>
  <c r="N27" i="1"/>
  <c r="N15" i="1"/>
  <c r="N3" i="1"/>
  <c r="N2" i="1"/>
  <c r="M40" i="1"/>
  <c r="M28" i="1"/>
  <c r="M16" i="1"/>
  <c r="M4" i="1"/>
  <c r="M39" i="1"/>
  <c r="M27" i="1"/>
  <c r="M15" i="1"/>
  <c r="M9" i="1"/>
  <c r="M44" i="1"/>
  <c r="M38" i="1"/>
  <c r="M32" i="1"/>
  <c r="M26" i="1"/>
  <c r="M20" i="1"/>
  <c r="M14" i="1"/>
  <c r="M8" i="1"/>
  <c r="M43" i="1"/>
  <c r="M31" i="1"/>
  <c r="M19" i="1"/>
  <c r="M7" i="1"/>
  <c r="M42" i="1"/>
  <c r="M36" i="1"/>
  <c r="M30" i="1"/>
  <c r="M24" i="1"/>
  <c r="M18" i="1"/>
  <c r="M12" i="1"/>
  <c r="M6" i="1"/>
  <c r="M49" i="1"/>
  <c r="M37" i="1"/>
  <c r="M25" i="1"/>
  <c r="M13" i="1"/>
  <c r="M48" i="1"/>
  <c r="M47" i="1"/>
  <c r="M41" i="1"/>
  <c r="M35" i="1"/>
  <c r="M29" i="1"/>
  <c r="M23" i="1"/>
  <c r="M17" i="1"/>
  <c r="M11" i="1"/>
  <c r="M5" i="1"/>
  <c r="M46" i="1"/>
  <c r="M34" i="1"/>
  <c r="M22" i="1"/>
  <c r="M10" i="1"/>
  <c r="M45" i="1"/>
  <c r="M33" i="1"/>
  <c r="M21" i="1"/>
  <c r="M3" i="1"/>
  <c r="M2" i="1"/>
  <c r="J34" i="1"/>
  <c r="J37" i="1"/>
  <c r="J35" i="1"/>
  <c r="J36" i="1"/>
  <c r="J41" i="1"/>
  <c r="J40" i="1"/>
  <c r="J39" i="1"/>
  <c r="J38" i="1"/>
  <c r="J32" i="1"/>
  <c r="J20" i="1"/>
  <c r="J14" i="1"/>
  <c r="J8" i="1"/>
  <c r="J7" i="1"/>
  <c r="J26" i="1"/>
  <c r="J31" i="1"/>
  <c r="J19" i="1"/>
  <c r="J13" i="1"/>
  <c r="J24" i="1"/>
  <c r="J18" i="1"/>
  <c r="J6" i="1"/>
  <c r="J25" i="1"/>
  <c r="J30" i="1"/>
  <c r="J12" i="1"/>
  <c r="J11" i="1"/>
  <c r="J29" i="1"/>
  <c r="J23" i="1"/>
  <c r="J17" i="1"/>
  <c r="J5" i="1"/>
  <c r="J28" i="1"/>
  <c r="J4" i="1"/>
  <c r="J22" i="1"/>
  <c r="J10" i="1"/>
  <c r="J16" i="1"/>
  <c r="J33" i="1"/>
  <c r="J27" i="1"/>
  <c r="J21" i="1"/>
  <c r="J15" i="1"/>
  <c r="J9" i="1"/>
  <c r="J3" i="1"/>
  <c r="J2" i="1"/>
  <c r="H54" i="1"/>
  <c r="C86" i="1"/>
  <c r="C59" i="1"/>
  <c r="C103" i="1"/>
  <c r="C85" i="1"/>
  <c r="E101" i="1"/>
  <c r="E95" i="1"/>
  <c r="E89" i="1"/>
  <c r="E86" i="1"/>
  <c r="E80" i="1"/>
  <c r="E77" i="1"/>
  <c r="E74" i="1"/>
  <c r="E71" i="1"/>
  <c r="E68" i="1"/>
  <c r="E65" i="1"/>
  <c r="E62" i="1"/>
  <c r="E59" i="1"/>
  <c r="E53" i="1"/>
  <c r="C56" i="1"/>
  <c r="C32" i="1"/>
  <c r="C71" i="1"/>
  <c r="C41" i="1"/>
  <c r="E105" i="1"/>
  <c r="E99" i="1"/>
  <c r="E93" i="1"/>
  <c r="E87" i="1"/>
  <c r="E78" i="1"/>
  <c r="E72" i="1"/>
  <c r="E66" i="1"/>
  <c r="E60" i="1"/>
  <c r="E51" i="1"/>
  <c r="E36" i="1"/>
  <c r="C89" i="1"/>
  <c r="E102" i="1"/>
  <c r="E96" i="1"/>
  <c r="E90" i="1"/>
  <c r="E84" i="1"/>
  <c r="E81" i="1"/>
  <c r="E75" i="1"/>
  <c r="E69" i="1"/>
  <c r="E63" i="1"/>
  <c r="E57" i="1"/>
  <c r="E54" i="1"/>
  <c r="E48" i="1"/>
  <c r="E45" i="1"/>
  <c r="E42" i="1"/>
  <c r="E39" i="1"/>
  <c r="E33" i="1"/>
  <c r="C101" i="1"/>
  <c r="C80" i="1"/>
  <c r="C62" i="1"/>
  <c r="C44" i="1"/>
  <c r="C35" i="1"/>
  <c r="C90" i="1"/>
  <c r="C81" i="1"/>
  <c r="C75" i="1"/>
  <c r="C63" i="1"/>
  <c r="C57" i="1"/>
  <c r="C51" i="1"/>
  <c r="C42" i="1"/>
  <c r="C36" i="1"/>
  <c r="C92" i="1"/>
  <c r="C68" i="1"/>
  <c r="C50" i="1"/>
  <c r="C105" i="1"/>
  <c r="C99" i="1"/>
  <c r="C87" i="1"/>
  <c r="C84" i="1"/>
  <c r="C78" i="1"/>
  <c r="C72" i="1"/>
  <c r="C69" i="1"/>
  <c r="C66" i="1"/>
  <c r="C60" i="1"/>
  <c r="C54" i="1"/>
  <c r="C48" i="1"/>
  <c r="C45" i="1"/>
  <c r="C39" i="1"/>
  <c r="C33" i="1"/>
  <c r="C104" i="1"/>
  <c r="C74" i="1"/>
  <c r="C47" i="1"/>
  <c r="C96" i="1"/>
  <c r="E103" i="1"/>
  <c r="E94" i="1"/>
  <c r="E88" i="1"/>
  <c r="E82" i="1"/>
  <c r="E79" i="1"/>
  <c r="E76" i="1"/>
  <c r="E73" i="1"/>
  <c r="E67" i="1"/>
  <c r="E64" i="1"/>
  <c r="E61" i="1"/>
  <c r="E58" i="1"/>
  <c r="E55" i="1"/>
  <c r="E52" i="1"/>
  <c r="E49" i="1"/>
  <c r="E46" i="1"/>
  <c r="E43" i="1"/>
  <c r="E40" i="1"/>
  <c r="E37" i="1"/>
  <c r="E34" i="1"/>
  <c r="E31" i="1"/>
  <c r="C98" i="1"/>
  <c r="C77" i="1"/>
  <c r="C65" i="1"/>
  <c r="C38" i="1"/>
  <c r="C102" i="1"/>
  <c r="C93" i="1"/>
  <c r="E100" i="1"/>
  <c r="E97" i="1"/>
  <c r="E91" i="1"/>
  <c r="E85" i="1"/>
  <c r="E70" i="1"/>
  <c r="C97" i="1"/>
  <c r="C82" i="1"/>
  <c r="C73" i="1"/>
  <c r="C67" i="1"/>
  <c r="C61" i="1"/>
  <c r="C55" i="1"/>
  <c r="C52" i="1"/>
  <c r="C49" i="1"/>
  <c r="C43" i="1"/>
  <c r="C40" i="1"/>
  <c r="C37" i="1"/>
  <c r="C31" i="1"/>
  <c r="C95" i="1"/>
  <c r="C94" i="1"/>
  <c r="C88" i="1"/>
  <c r="C79" i="1"/>
  <c r="C76" i="1"/>
  <c r="C70" i="1"/>
  <c r="C64" i="1"/>
  <c r="C58" i="1"/>
  <c r="C46" i="1"/>
  <c r="C34" i="1"/>
  <c r="C83" i="1"/>
  <c r="C53" i="1"/>
  <c r="C100" i="1"/>
  <c r="C91" i="1"/>
  <c r="E104" i="1"/>
  <c r="E98" i="1"/>
  <c r="E92" i="1"/>
  <c r="E83" i="1"/>
  <c r="E56" i="1"/>
  <c r="E50" i="1"/>
  <c r="E47" i="1"/>
  <c r="E44" i="1"/>
  <c r="E41" i="1"/>
  <c r="E38" i="1"/>
  <c r="E35" i="1"/>
  <c r="E32" i="1"/>
  <c r="F3" i="1"/>
  <c r="F4" i="1"/>
  <c r="F2" i="1"/>
  <c r="E3" i="1"/>
  <c r="E2" i="1"/>
  <c r="E4" i="1"/>
  <c r="C3" i="1"/>
  <c r="C4" i="1"/>
  <c r="E11" i="1"/>
  <c r="E29" i="1"/>
  <c r="E15" i="1"/>
  <c r="E17" i="1"/>
  <c r="E16" i="1"/>
  <c r="E9" i="1"/>
  <c r="E28" i="1"/>
  <c r="E8" i="1"/>
  <c r="E10" i="1"/>
  <c r="E14" i="1"/>
  <c r="E23" i="1"/>
  <c r="E22" i="1"/>
  <c r="E21" i="1"/>
  <c r="E26" i="1"/>
  <c r="E20" i="1"/>
  <c r="E25" i="1"/>
  <c r="E19" i="1"/>
  <c r="E13" i="1"/>
  <c r="E7" i="1"/>
  <c r="E27" i="1"/>
  <c r="E30" i="1"/>
  <c r="E24" i="1"/>
  <c r="E18" i="1"/>
  <c r="E12" i="1"/>
  <c r="E6" i="1"/>
  <c r="E5" i="1"/>
  <c r="C29" i="1"/>
  <c r="C13" i="1"/>
  <c r="C21" i="1"/>
  <c r="C26" i="1"/>
  <c r="C18" i="1"/>
  <c r="C9" i="1"/>
  <c r="C25" i="1"/>
  <c r="C22" i="1"/>
  <c r="C5" i="1"/>
  <c r="C20" i="1"/>
  <c r="C12" i="1"/>
  <c r="C15" i="1"/>
  <c r="C30" i="1"/>
  <c r="C24" i="1"/>
  <c r="C14" i="1"/>
  <c r="C6" i="1"/>
  <c r="C17" i="1"/>
  <c r="C11" i="1"/>
  <c r="C8" i="1"/>
  <c r="C7" i="1"/>
  <c r="C23" i="1"/>
  <c r="C10" i="1"/>
  <c r="C27" i="1"/>
  <c r="C28" i="1"/>
  <c r="C16" i="1"/>
  <c r="C19" i="1"/>
  <c r="B86" i="1" a="1"/>
  <c r="F68" i="1" a="1"/>
  <c r="F87" i="1" a="1"/>
  <c r="F81" i="1" a="1"/>
  <c r="B80" i="1" a="1"/>
  <c r="B92" i="1" a="1"/>
  <c r="F82" i="1" a="1"/>
  <c r="F43" i="1" a="1"/>
  <c r="B43" i="1" a="1"/>
  <c r="F47" i="1" a="1"/>
  <c r="F65" i="1" a="1"/>
  <c r="B62" i="1" a="1"/>
  <c r="B48" i="1" a="1"/>
  <c r="F40" i="1" a="1"/>
  <c r="B40" i="1" a="1"/>
  <c r="F44" i="1" a="1"/>
  <c r="F72" i="1" a="1"/>
  <c r="B44" i="1" a="1"/>
  <c r="F37" i="1" a="1"/>
  <c r="B83" i="1" a="1"/>
  <c r="F63" i="1" a="1"/>
  <c r="B105" i="1" a="1"/>
  <c r="F70" i="1" a="1"/>
  <c r="F38" i="1" a="1"/>
  <c r="F78" i="1" a="1"/>
  <c r="B50" i="1" a="1"/>
  <c r="B37" i="1" a="1"/>
  <c r="F66" i="1" a="1"/>
  <c r="B39" i="1" a="1"/>
  <c r="B31" i="1" a="1"/>
  <c r="B103" i="1" a="1"/>
  <c r="F76" i="1" a="1"/>
  <c r="F41" i="1" a="1"/>
  <c r="F73" i="1" a="1"/>
  <c r="B53" i="1" a="1"/>
  <c r="B85" i="1" a="1"/>
  <c r="F101" i="1" a="1"/>
  <c r="F53" i="1" a="1"/>
  <c r="F60" i="1" a="1"/>
  <c r="F57" i="1" a="1"/>
  <c r="B90" i="1" a="1"/>
  <c r="B99" i="1" a="1"/>
  <c r="B33" i="1" a="1"/>
  <c r="F67" i="1" a="1"/>
  <c r="F31" i="1" a="1"/>
  <c r="B97" i="1" a="1"/>
  <c r="B95" i="1" a="1"/>
  <c r="B100" i="1" a="1"/>
  <c r="F35" i="1" a="1"/>
  <c r="F51" i="1" a="1"/>
  <c r="F54" i="1" a="1"/>
  <c r="B81" i="1" a="1"/>
  <c r="B87" i="1" a="1"/>
  <c r="B104" i="1" a="1"/>
  <c r="F64" i="1" a="1"/>
  <c r="B98" i="1" a="1"/>
  <c r="B82" i="1" a="1"/>
  <c r="B94" i="1" a="1"/>
  <c r="B91" i="1" a="1"/>
  <c r="F32" i="1" a="1"/>
  <c r="B89" i="1" a="1"/>
  <c r="B78" i="1" a="1"/>
  <c r="B65" i="1" a="1"/>
  <c r="B79" i="1" a="1"/>
  <c r="F42" i="1" a="1"/>
  <c r="B96" i="1" a="1"/>
  <c r="B76" i="1" a="1"/>
  <c r="B69" i="1" a="1"/>
  <c r="F83" i="1" a="1"/>
  <c r="B42" i="1" a="1"/>
  <c r="B64" i="1" a="1"/>
  <c r="F95" i="1" a="1"/>
  <c r="B56" i="1" a="1"/>
  <c r="B47" i="1" a="1"/>
  <c r="B67" i="1" a="1"/>
  <c r="B41" i="1" a="1"/>
  <c r="B57" i="1" a="1"/>
  <c r="B61" i="1" a="1"/>
  <c r="B51" i="1" a="1"/>
  <c r="B102" i="1" a="1"/>
  <c r="F90" i="1" a="1"/>
  <c r="B93" i="1" a="1"/>
  <c r="F89" i="1" a="1"/>
  <c r="B32" i="1" a="1"/>
  <c r="F36" i="1" a="1"/>
  <c r="F48" i="1" a="1"/>
  <c r="B75" i="1" a="1"/>
  <c r="B84" i="1" a="1"/>
  <c r="B74" i="1" a="1"/>
  <c r="F61" i="1" a="1"/>
  <c r="B77" i="1" a="1"/>
  <c r="B73" i="1" a="1"/>
  <c r="B88" i="1" a="1"/>
  <c r="F104" i="1" a="1"/>
  <c r="B71" i="1" a="1"/>
  <c r="F45" i="1" a="1"/>
  <c r="B63" i="1" a="1"/>
  <c r="F58" i="1" a="1"/>
  <c r="F98" i="1" a="1"/>
  <c r="F102" i="1" a="1"/>
  <c r="B72" i="1" a="1"/>
  <c r="F92" i="1" a="1"/>
  <c r="F103" i="1" a="1"/>
  <c r="B55" i="1" a="1"/>
  <c r="F33" i="1" a="1"/>
  <c r="F56" i="1" a="1"/>
  <c r="F86" i="1" a="1"/>
  <c r="F55" i="1" a="1"/>
  <c r="F39" i="1" a="1"/>
  <c r="B70" i="1" a="1"/>
  <c r="B66" i="1" a="1"/>
  <c r="B52" i="1" a="1"/>
  <c r="F80" i="1" a="1"/>
  <c r="B38" i="1" a="1"/>
  <c r="F74" i="1" a="1"/>
  <c r="F94" i="1" a="1"/>
  <c r="F77" i="1" a="1"/>
  <c r="F105" i="1" a="1"/>
  <c r="F96" i="1" a="1"/>
  <c r="F52" i="1" a="1"/>
  <c r="F99" i="1" a="1"/>
  <c r="F49" i="1" a="1"/>
  <c r="F71" i="1" a="1"/>
  <c r="F93" i="1" a="1"/>
  <c r="F84" i="1" a="1"/>
  <c r="B101" i="1" a="1"/>
  <c r="B36" i="1" a="1"/>
  <c r="B60" i="1" a="1"/>
  <c r="F88" i="1" a="1"/>
  <c r="F46" i="1" a="1"/>
  <c r="F100" i="1" a="1"/>
  <c r="B49" i="1" a="1"/>
  <c r="B58" i="1" a="1"/>
  <c r="F50" i="1" a="1"/>
  <c r="B54" i="1" a="1"/>
  <c r="F97" i="1" a="1"/>
  <c r="B46" i="1" a="1"/>
  <c r="B59" i="1" a="1"/>
  <c r="F75" i="1" a="1"/>
  <c r="B68" i="1" a="1"/>
  <c r="F79" i="1" a="1"/>
  <c r="F91" i="1" a="1"/>
  <c r="B34" i="1" a="1"/>
  <c r="F62" i="1" a="1"/>
  <c r="F69" i="1" a="1"/>
  <c r="B45" i="1" a="1"/>
  <c r="F85" i="1" a="1"/>
  <c r="F59" i="1" a="1"/>
  <c r="B35" i="1" a="1"/>
  <c r="F34" i="1" a="1"/>
  <c r="B3" i="1" a="1"/>
  <c r="B4" i="1" a="1"/>
  <c r="B2" i="1" a="1"/>
  <c r="F11" i="1" a="1"/>
  <c r="F21" i="1" a="1"/>
  <c r="F6" i="1" a="1"/>
  <c r="F29" i="1" a="1"/>
  <c r="F26" i="1" a="1"/>
  <c r="F16" i="1" a="1"/>
  <c r="F9" i="1" a="1"/>
  <c r="F28" i="1" a="1"/>
  <c r="F8" i="1" a="1"/>
  <c r="F10" i="1" a="1"/>
  <c r="F23" i="1" a="1"/>
  <c r="F15" i="1" a="1"/>
  <c r="F20" i="1" a="1"/>
  <c r="F17" i="1" a="1"/>
  <c r="F25" i="1" a="1"/>
  <c r="F19" i="1" a="1"/>
  <c r="F13" i="1" a="1"/>
  <c r="F7" i="1" a="1"/>
  <c r="F27" i="1" a="1"/>
  <c r="F30" i="1" a="1"/>
  <c r="F24" i="1" a="1"/>
  <c r="F18" i="1" a="1"/>
  <c r="F22" i="1" a="1"/>
  <c r="F14" i="1" a="1"/>
  <c r="F12" i="1" a="1"/>
  <c r="F5" i="1" a="1"/>
  <c r="B18" i="1" a="1"/>
  <c r="B15" i="1" a="1"/>
  <c r="B14" i="1" a="1"/>
  <c r="B30" i="1" a="1"/>
  <c r="B24" i="1" a="1"/>
  <c r="B29" i="1" a="1"/>
  <c r="B25" i="1" a="1"/>
  <c r="B13" i="1" a="1"/>
  <c r="B22" i="1" a="1"/>
  <c r="B10" i="1" a="1"/>
  <c r="B16" i="1" a="1"/>
  <c r="B5" i="1" a="1"/>
  <c r="B17" i="1" a="1"/>
  <c r="B27" i="1" a="1"/>
  <c r="B19" i="1" a="1"/>
  <c r="B12" i="1" a="1"/>
  <c r="B7" i="1" a="1"/>
  <c r="B20" i="1" a="1"/>
  <c r="B28" i="1" a="1"/>
  <c r="B21" i="1" a="1"/>
  <c r="B8" i="1" a="1"/>
  <c r="B11" i="1" a="1"/>
  <c r="B26" i="1" a="1"/>
  <c r="B9" i="1" a="1"/>
  <c r="B23" i="1" a="1"/>
  <c r="B6" i="1" a="1"/>
  <c r="F34" i="1" l="1"/>
  <c r="B35" i="1"/>
  <c r="F59" i="1"/>
  <c r="F85" i="1"/>
  <c r="B45" i="1"/>
  <c r="F69" i="1"/>
  <c r="F62" i="1"/>
  <c r="B34" i="1"/>
  <c r="F91" i="1"/>
  <c r="F79" i="1"/>
  <c r="B68" i="1"/>
  <c r="F75" i="1"/>
  <c r="B59" i="1"/>
  <c r="B46" i="1"/>
  <c r="F97" i="1"/>
  <c r="B54" i="1"/>
  <c r="F50" i="1"/>
  <c r="B58" i="1"/>
  <c r="B49" i="1"/>
  <c r="F100" i="1"/>
  <c r="F46" i="1"/>
  <c r="F88" i="1"/>
  <c r="B60" i="1"/>
  <c r="B36" i="1"/>
  <c r="B101" i="1"/>
  <c r="F84" i="1"/>
  <c r="F93" i="1"/>
  <c r="F71" i="1"/>
  <c r="F49" i="1"/>
  <c r="F99" i="1"/>
  <c r="F52" i="1"/>
  <c r="F96" i="1"/>
  <c r="F105" i="1"/>
  <c r="F77" i="1"/>
  <c r="F94" i="1"/>
  <c r="F74" i="1"/>
  <c r="B38" i="1"/>
  <c r="F80" i="1"/>
  <c r="B52" i="1"/>
  <c r="B66" i="1"/>
  <c r="B70" i="1"/>
  <c r="F39" i="1"/>
  <c r="F55" i="1"/>
  <c r="F86" i="1"/>
  <c r="F56" i="1"/>
  <c r="F33" i="1"/>
  <c r="B55" i="1"/>
  <c r="F103" i="1"/>
  <c r="F92" i="1"/>
  <c r="B72" i="1"/>
  <c r="F102" i="1"/>
  <c r="F98" i="1"/>
  <c r="F58" i="1"/>
  <c r="B63" i="1"/>
  <c r="F45" i="1"/>
  <c r="B71" i="1"/>
  <c r="F104" i="1"/>
  <c r="B88" i="1"/>
  <c r="B73" i="1"/>
  <c r="B77" i="1"/>
  <c r="F61" i="1"/>
  <c r="B74" i="1"/>
  <c r="B84" i="1"/>
  <c r="B75" i="1"/>
  <c r="F48" i="1"/>
  <c r="F36" i="1"/>
  <c r="B32" i="1"/>
  <c r="F89" i="1"/>
  <c r="B93" i="1"/>
  <c r="F90" i="1"/>
  <c r="B102" i="1"/>
  <c r="B51" i="1"/>
  <c r="B61" i="1"/>
  <c r="B57" i="1"/>
  <c r="B41" i="1"/>
  <c r="B67" i="1"/>
  <c r="B47" i="1"/>
  <c r="B56" i="1"/>
  <c r="F95" i="1"/>
  <c r="B64" i="1"/>
  <c r="B42" i="1"/>
  <c r="F83" i="1"/>
  <c r="B69" i="1"/>
  <c r="B76" i="1"/>
  <c r="B96" i="1"/>
  <c r="F42" i="1"/>
  <c r="B79" i="1"/>
  <c r="B65" i="1"/>
  <c r="B78" i="1"/>
  <c r="B89" i="1"/>
  <c r="F32" i="1"/>
  <c r="B91" i="1"/>
  <c r="B94" i="1"/>
  <c r="B82" i="1"/>
  <c r="B98" i="1"/>
  <c r="F64" i="1"/>
  <c r="B104" i="1"/>
  <c r="B87" i="1"/>
  <c r="B81" i="1"/>
  <c r="F54" i="1"/>
  <c r="F51" i="1"/>
  <c r="F35" i="1"/>
  <c r="B100" i="1"/>
  <c r="B95" i="1"/>
  <c r="B97" i="1"/>
  <c r="F31" i="1"/>
  <c r="F67" i="1"/>
  <c r="B33" i="1"/>
  <c r="B99" i="1"/>
  <c r="B90" i="1"/>
  <c r="F57" i="1"/>
  <c r="F60" i="1"/>
  <c r="F53" i="1"/>
  <c r="F101" i="1"/>
  <c r="B85" i="1"/>
  <c r="B53" i="1"/>
  <c r="F73" i="1"/>
  <c r="F41" i="1"/>
  <c r="F76" i="1"/>
  <c r="B103" i="1"/>
  <c r="B31" i="1"/>
  <c r="B39" i="1"/>
  <c r="F66" i="1"/>
  <c r="B37" i="1"/>
  <c r="B50" i="1"/>
  <c r="F78" i="1"/>
  <c r="F38" i="1"/>
  <c r="F70" i="1"/>
  <c r="B105" i="1"/>
  <c r="F63" i="1"/>
  <c r="B83" i="1"/>
  <c r="F37" i="1"/>
  <c r="B44" i="1"/>
  <c r="F72" i="1"/>
  <c r="F44" i="1"/>
  <c r="B40" i="1"/>
  <c r="F40" i="1"/>
  <c r="B48" i="1"/>
  <c r="B62" i="1"/>
  <c r="F65" i="1"/>
  <c r="F47" i="1"/>
  <c r="B43" i="1"/>
  <c r="F43" i="1"/>
  <c r="F82" i="1"/>
  <c r="B92" i="1"/>
  <c r="B80" i="1"/>
  <c r="F81" i="1"/>
  <c r="F87" i="1"/>
  <c r="F68" i="1"/>
  <c r="B86" i="1"/>
  <c r="B2" i="1"/>
  <c r="B4" i="1"/>
  <c r="B3" i="1"/>
  <c r="F12" i="1"/>
  <c r="F14" i="1"/>
  <c r="F22" i="1"/>
  <c r="F18" i="1"/>
  <c r="F24" i="1"/>
  <c r="F30" i="1"/>
  <c r="F27" i="1"/>
  <c r="F7" i="1"/>
  <c r="F13" i="1"/>
  <c r="F19" i="1"/>
  <c r="F25" i="1"/>
  <c r="F17" i="1"/>
  <c r="F20" i="1"/>
  <c r="F15" i="1"/>
  <c r="F23" i="1"/>
  <c r="F10" i="1"/>
  <c r="F8" i="1"/>
  <c r="F28" i="1"/>
  <c r="F9" i="1"/>
  <c r="F16" i="1"/>
  <c r="F26" i="1"/>
  <c r="F29" i="1"/>
  <c r="F6" i="1"/>
  <c r="F21" i="1"/>
  <c r="F11" i="1"/>
  <c r="F5" i="1"/>
  <c r="B6" i="1"/>
  <c r="B23" i="1"/>
  <c r="B9" i="1"/>
  <c r="B26" i="1"/>
  <c r="B11" i="1"/>
  <c r="B8" i="1"/>
  <c r="B21" i="1"/>
  <c r="B28" i="1"/>
  <c r="B20" i="1"/>
  <c r="B7" i="1"/>
  <c r="B12" i="1"/>
  <c r="B19" i="1"/>
  <c r="B27" i="1"/>
  <c r="B17" i="1"/>
  <c r="B5" i="1"/>
  <c r="B16" i="1"/>
  <c r="B10" i="1"/>
  <c r="B22" i="1"/>
  <c r="B13" i="1"/>
  <c r="B25" i="1"/>
  <c r="B29" i="1"/>
  <c r="B24" i="1"/>
  <c r="B30" i="1"/>
  <c r="B14" i="1"/>
  <c r="B15" i="1"/>
  <c r="B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<sst xmlns="http://schemas.openxmlformats.org/spreadsheetml/2006/main" count="29" uniqueCount="26">
  <si>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</si>
  <si>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</si>
  <si>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</si>
  <si>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</si>
  <si>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</si>
  <si>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</si>
  <si>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</si>
  <si>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</si>
  <si>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</si>
  <si>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</si>
  <si>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</si>
  <si>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</si>
  <si>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</si>
  <si>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</si>
  <si>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</si>
  <si>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Altitude</t>
  </si>
  <si>
    <t>Min Speed</t>
  </si>
  <si>
    <t>Max Speed</t>
  </si>
  <si>
    <t>Min Mach</t>
  </si>
  <si>
    <t>Max Mach</t>
  </si>
  <si>
    <t>Mach Number</t>
  </si>
  <si>
    <t>Sea Level</t>
  </si>
  <si>
    <t>10k</t>
  </si>
  <si>
    <t>A Max Mach</t>
  </si>
  <si>
    <t>Max Load Factor</t>
  </si>
  <si>
    <t>Min Load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</si>
</sst>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</a:t>
            </a:r>
            <a:r>
              <a:rPr lang="en-US" baseline="0"/>
              <a:t> Envelope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Min Mach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Numbers!$B$5:$B$105</c:f>
              <c:numCache>
                <c:formatCode>0.000</c:formatCode>
                <c:ptCount val="101"/>
                <c:pt idx="0">
                  <c:v>0.18755142528216351</c:v>
                </c:pt>
                <c:pt idx="1">
                  <c:v>0.18839186540525427</c:v>
                </c:pt>
                <c:pt idx="2">
                  <c:v>0.18924120760777138</c:v>
                </c:pt>
                <c:pt idx="3">
                  <c:v>0.19009961227502392</c:v>
                </c:pt>
                <c:pt idx="4">
                  <c:v>0.19096724391526404</c:v>
                </c:pt>
                <c:pt idx="5">
                  <c:v>0.19184173362887033</c:v>
                </c:pt>
                <c:pt idx="6">
                  <c:v>0.19272566240023181</c:v>
                </c:pt>
                <c:pt idx="7">
                  <c:v>0.1936192034857008</c:v>
                </c:pt>
                <c:pt idx="8">
                  <c:v>0.19452253468039196</c:v>
                </c:pt>
                <c:pt idx="9">
                  <c:v>0.19543405124909524</c:v>
                </c:pt>
                <c:pt idx="10">
                  <c:v>0.19635566295476761</c:v>
                </c:pt>
                <c:pt idx="11">
                  <c:v>0.19728756002546044</c:v>
                </c:pt>
                <c:pt idx="12">
                  <c:v>0.1982299378056146</c:v>
                </c:pt>
                <c:pt idx="13">
                  <c:v>0.19912355779047064</c:v>
                </c:pt>
                <c:pt idx="14">
                  <c:v>0.20002667029225196</c:v>
                </c:pt>
                <c:pt idx="15">
                  <c:v>0.20093944675895223</c:v>
                </c:pt>
                <c:pt idx="16">
                  <c:v>0.20186206305754456</c:v>
                </c:pt>
                <c:pt idx="17">
                  <c:v>0.2028188985681916</c:v>
                </c:pt>
                <c:pt idx="18">
                  <c:v>0.20378645474039075</c:v>
                </c:pt>
                <c:pt idx="19">
                  <c:v>0.20476493596527601</c:v>
                </c:pt>
                <c:pt idx="20">
                  <c:v>0.20575455219646302</c:v>
                </c:pt>
                <c:pt idx="21">
                  <c:v>0.20672669721667031</c:v>
                </c:pt>
                <c:pt idx="22">
                  <c:v>0.20770965990476697</c:v>
                </c:pt>
                <c:pt idx="23">
                  <c:v>0.20870364498363833</c:v>
                </c:pt>
                <c:pt idx="24">
                  <c:v>0.20970886270724301</c:v>
                </c:pt>
                <c:pt idx="25">
                  <c:v>0.21067393638252457</c:v>
                </c:pt>
                <c:pt idx="26">
                  <c:v>0.21164947932391148</c:v>
                </c:pt>
                <c:pt idx="27">
                  <c:v>0.21263568467389787</c:v>
                </c:pt>
                <c:pt idx="28">
                  <c:v>0.21363275066058918</c:v>
                </c:pt>
                <c:pt idx="29">
                  <c:v>0.21466951960976446</c:v>
                </c:pt>
                <c:pt idx="30">
                  <c:v>0.21571818362185338</c:v>
                </c:pt>
                <c:pt idx="31">
                  <c:v>0.21677897496513054</c:v>
                </c:pt>
                <c:pt idx="32">
                  <c:v>0.21785213238320925</c:v>
                </c:pt>
                <c:pt idx="33">
                  <c:v>0.21890058211410099</c:v>
                </c:pt>
                <c:pt idx="34">
                  <c:v>0.21996092638236936</c:v>
                </c:pt>
                <c:pt idx="35">
                  <c:v>0.22103339474405428</c:v>
                </c:pt>
                <c:pt idx="36">
                  <c:v>0.22211822308066881</c:v>
                </c:pt>
                <c:pt idx="37">
                  <c:v>0.22318099322723572</c:v>
                </c:pt>
                <c:pt idx="38">
                  <c:v>0.22425578321394377</c:v>
                </c:pt>
                <c:pt idx="39">
                  <c:v>0.22534282437687894</c:v>
                </c:pt>
                <c:pt idx="40">
                  <c:v>0.22644235440818719</c:v>
                </c:pt>
                <c:pt idx="41">
                  <c:v>0.22754655692949</c:v>
                </c:pt>
                <c:pt idx="42">
                  <c:v>0.2286634453721211</c:v>
                </c:pt>
                <c:pt idx="43">
                  <c:v>0.229793267675164</c:v>
                </c:pt>
                <c:pt idx="44">
                  <c:v>0.23093627869740244</c:v>
                </c:pt>
                <c:pt idx="45">
                  <c:v>0.23208957441912326</c:v>
                </c:pt>
                <c:pt idx="46">
                  <c:v>0.23325649304636595</c:v>
                </c:pt>
                <c:pt idx="47">
                  <c:v>0.23443730851973252</c:v>
                </c:pt>
                <c:pt idx="48">
                  <c:v>0.2356323026465191</c:v>
                </c:pt>
                <c:pt idx="49">
                  <c:v>0.23677008080381917</c:v>
                </c:pt>
                <c:pt idx="50">
                  <c:v>0.23792080038581537</c:v>
                </c:pt>
                <c:pt idx="51">
                  <c:v>0.23908471178107313</c:v>
                </c:pt>
                <c:pt idx="52">
                  <c:v>0.24026207229539931</c:v>
                </c:pt>
                <c:pt idx="53">
                  <c:v>0.24146186492995253</c:v>
                </c:pt>
                <c:pt idx="54">
                  <c:v>0.24267578965220216</c:v>
                </c:pt>
                <c:pt idx="55">
                  <c:v>0.2439041297321361</c:v>
                </c:pt>
                <c:pt idx="56">
                  <c:v>0.24514717654908955</c:v>
                </c:pt>
                <c:pt idx="57">
                  <c:v>0.24639515632024062</c:v>
                </c:pt>
                <c:pt idx="58">
                  <c:v>0.24765814870685632</c:v>
                </c:pt>
                <c:pt idx="59">
                  <c:v>0.24893646115562584</c:v>
                </c:pt>
                <c:pt idx="60">
                  <c:v>0.25023041010656999</c:v>
                </c:pt>
                <c:pt idx="61">
                  <c:v>0.25146394420525725</c:v>
                </c:pt>
                <c:pt idx="62">
                  <c:v>0.25271180683951006</c:v>
                </c:pt>
                <c:pt idx="63">
                  <c:v>0.253974281177412</c:v>
                </c:pt>
                <c:pt idx="64">
                  <c:v>0.25525165837884456</c:v>
                </c:pt>
                <c:pt idx="65">
                  <c:v>0.25658019736186988</c:v>
                </c:pt>
                <c:pt idx="66">
                  <c:v>0.25792510280684966</c:v>
                </c:pt>
                <c:pt idx="67">
                  <c:v>0.25928671808878595</c:v>
                </c:pt>
                <c:pt idx="68">
                  <c:v>0.26066539687425744</c:v>
                </c:pt>
                <c:pt idx="69">
                  <c:v>0.26200791814379742</c:v>
                </c:pt>
                <c:pt idx="70">
                  <c:v>0.26336673245439562</c:v>
                </c:pt>
                <c:pt idx="71">
                  <c:v>0.26474217633071234</c:v>
                </c:pt>
                <c:pt idx="72">
                  <c:v>0.26613459622757307</c:v>
                </c:pt>
                <c:pt idx="73">
                  <c:v>0.26749276769103969</c:v>
                </c:pt>
                <c:pt idx="74">
                  <c:v>0.26886731519218582</c:v>
                </c:pt>
                <c:pt idx="75">
                  <c:v>0.27025857487604976</c:v>
                </c:pt>
                <c:pt idx="76">
                  <c:v>0.27166689274351447</c:v>
                </c:pt>
                <c:pt idx="77">
                  <c:v>0.27308818001570206</c:v>
                </c:pt>
                <c:pt idx="78">
                  <c:v>0.27452700621777348</c:v>
                </c:pt>
                <c:pt idx="79">
                  <c:v>0.27598373979321772</c:v>
                </c:pt>
                <c:pt idx="80">
                  <c:v>0.27745876024438726</c:v>
                </c:pt>
                <c:pt idx="81">
                  <c:v>0.27892658157357841</c:v>
                </c:pt>
                <c:pt idx="82">
                  <c:v>0.28041271584192584</c:v>
                </c:pt>
                <c:pt idx="83">
                  <c:v>0.2819175520209814</c:v>
                </c:pt>
                <c:pt idx="84">
                  <c:v>0.28344149088811599</c:v>
                </c:pt>
                <c:pt idx="85">
                  <c:v>0.28492991544556934</c:v>
                </c:pt>
                <c:pt idx="86">
                  <c:v>0.28643682849658975</c:v>
                </c:pt>
                <c:pt idx="87">
                  <c:v>0.2879626211561363</c:v>
                </c:pt>
                <c:pt idx="88">
                  <c:v>0.28950769636009005</c:v>
                </c:pt>
                <c:pt idx="89">
                  <c:v>0.29105613605558633</c:v>
                </c:pt>
                <c:pt idx="90">
                  <c:v>0.29262410371261632</c:v>
                </c:pt>
                <c:pt idx="91">
                  <c:v>0.29421201862689678</c:v>
                </c:pt>
                <c:pt idx="92">
                  <c:v>0.29582031296031996</c:v>
                </c:pt>
                <c:pt idx="93">
                  <c:v>0.29739636625613597</c:v>
                </c:pt>
                <c:pt idx="94">
                  <c:v>0.29899227502456521</c:v>
                </c:pt>
                <c:pt idx="95">
                  <c:v>0.30060846530298158</c:v>
                </c:pt>
                <c:pt idx="96">
                  <c:v>0.30224537619114528</c:v>
                </c:pt>
                <c:pt idx="97">
                  <c:v>0.30389594380543483</c:v>
                </c:pt>
                <c:pt idx="98">
                  <c:v>0.30556777189710588</c:v>
                </c:pt>
                <c:pt idx="99">
                  <c:v>0.30726132680879492</c:v>
                </c:pt>
                <c:pt idx="100">
                  <c:v>0.30897708950435793</c:v>
                </c:pt>
              </c:numCache>
            </c:numRef>
          </c:xVal>
          <c:yVal>
            <c:numRef>
              <c:f>Numbers!$A$5:$A$105</c:f>
              <c:numCache>
                <c:formatCode>General</c:formatCode>
                <c:ptCount val="101"/>
                <c:pt idx="0">
                  <c:v>1000</c:v>
                </c:pt>
                <c:pt idx="1">
                  <c:v>1250</c:v>
                </c:pt>
                <c:pt idx="2">
                  <c:v>1500</c:v>
                </c:pt>
                <c:pt idx="3">
                  <c:v>1750</c:v>
                </c:pt>
                <c:pt idx="4">
                  <c:v>2000</c:v>
                </c:pt>
                <c:pt idx="5">
                  <c:v>2250</c:v>
                </c:pt>
                <c:pt idx="6">
                  <c:v>2500</c:v>
                </c:pt>
                <c:pt idx="7">
                  <c:v>2750</c:v>
                </c:pt>
                <c:pt idx="8">
                  <c:v>3000</c:v>
                </c:pt>
                <c:pt idx="9">
                  <c:v>3250</c:v>
                </c:pt>
                <c:pt idx="10">
                  <c:v>3500</c:v>
                </c:pt>
                <c:pt idx="11">
                  <c:v>3750</c:v>
                </c:pt>
                <c:pt idx="12">
                  <c:v>4000</c:v>
                </c:pt>
                <c:pt idx="13">
                  <c:v>4250</c:v>
                </c:pt>
                <c:pt idx="14">
                  <c:v>4500</c:v>
                </c:pt>
                <c:pt idx="15">
                  <c:v>4750</c:v>
                </c:pt>
                <c:pt idx="16">
                  <c:v>5000</c:v>
                </c:pt>
                <c:pt idx="17">
                  <c:v>5250</c:v>
                </c:pt>
                <c:pt idx="18">
                  <c:v>5500</c:v>
                </c:pt>
                <c:pt idx="19">
                  <c:v>5750</c:v>
                </c:pt>
                <c:pt idx="20">
                  <c:v>6000</c:v>
                </c:pt>
                <c:pt idx="21">
                  <c:v>6250</c:v>
                </c:pt>
                <c:pt idx="22">
                  <c:v>6500</c:v>
                </c:pt>
                <c:pt idx="23">
                  <c:v>6750</c:v>
                </c:pt>
                <c:pt idx="24">
                  <c:v>7000</c:v>
                </c:pt>
                <c:pt idx="25">
                  <c:v>7250</c:v>
                </c:pt>
                <c:pt idx="26">
                  <c:v>7500</c:v>
                </c:pt>
                <c:pt idx="27">
                  <c:v>7750</c:v>
                </c:pt>
                <c:pt idx="28">
                  <c:v>8000</c:v>
                </c:pt>
                <c:pt idx="29">
                  <c:v>8250</c:v>
                </c:pt>
                <c:pt idx="30">
                  <c:v>8500</c:v>
                </c:pt>
                <c:pt idx="31">
                  <c:v>8750</c:v>
                </c:pt>
                <c:pt idx="32">
                  <c:v>9000</c:v>
                </c:pt>
                <c:pt idx="33">
                  <c:v>9250</c:v>
                </c:pt>
                <c:pt idx="34">
                  <c:v>9500</c:v>
                </c:pt>
                <c:pt idx="35">
                  <c:v>9750</c:v>
                </c:pt>
                <c:pt idx="36">
                  <c:v>10000</c:v>
                </c:pt>
                <c:pt idx="37">
                  <c:v>10250</c:v>
                </c:pt>
                <c:pt idx="38">
                  <c:v>10500</c:v>
                </c:pt>
                <c:pt idx="39">
                  <c:v>10750</c:v>
                </c:pt>
                <c:pt idx="40">
                  <c:v>11000</c:v>
                </c:pt>
                <c:pt idx="41">
                  <c:v>11250</c:v>
                </c:pt>
                <c:pt idx="42">
                  <c:v>11500</c:v>
                </c:pt>
                <c:pt idx="43">
                  <c:v>11750</c:v>
                </c:pt>
                <c:pt idx="44">
                  <c:v>12000</c:v>
                </c:pt>
                <c:pt idx="45">
                  <c:v>12250</c:v>
                </c:pt>
                <c:pt idx="46">
                  <c:v>12500</c:v>
                </c:pt>
                <c:pt idx="47">
                  <c:v>12750</c:v>
                </c:pt>
                <c:pt idx="48">
                  <c:v>13000</c:v>
                </c:pt>
                <c:pt idx="49">
                  <c:v>13250</c:v>
                </c:pt>
                <c:pt idx="50">
                  <c:v>13500</c:v>
                </c:pt>
                <c:pt idx="51">
                  <c:v>13750</c:v>
                </c:pt>
                <c:pt idx="52">
                  <c:v>14000</c:v>
                </c:pt>
                <c:pt idx="53">
                  <c:v>14250</c:v>
                </c:pt>
                <c:pt idx="54">
                  <c:v>14500</c:v>
                </c:pt>
                <c:pt idx="55">
                  <c:v>14750</c:v>
                </c:pt>
                <c:pt idx="56">
                  <c:v>15000</c:v>
                </c:pt>
                <c:pt idx="57">
                  <c:v>15250</c:v>
                </c:pt>
                <c:pt idx="58">
                  <c:v>15500</c:v>
                </c:pt>
                <c:pt idx="59">
                  <c:v>15750</c:v>
                </c:pt>
                <c:pt idx="60">
                  <c:v>16000</c:v>
                </c:pt>
                <c:pt idx="61">
                  <c:v>16250</c:v>
                </c:pt>
                <c:pt idx="62">
                  <c:v>16500</c:v>
                </c:pt>
                <c:pt idx="63">
                  <c:v>16750</c:v>
                </c:pt>
                <c:pt idx="64">
                  <c:v>17000</c:v>
                </c:pt>
                <c:pt idx="65">
                  <c:v>17250</c:v>
                </c:pt>
                <c:pt idx="66">
                  <c:v>17500</c:v>
                </c:pt>
                <c:pt idx="67">
                  <c:v>17750</c:v>
                </c:pt>
                <c:pt idx="68">
                  <c:v>18000</c:v>
                </c:pt>
                <c:pt idx="69">
                  <c:v>18250</c:v>
                </c:pt>
                <c:pt idx="70">
                  <c:v>18500</c:v>
                </c:pt>
                <c:pt idx="71">
                  <c:v>18750</c:v>
                </c:pt>
                <c:pt idx="72">
                  <c:v>19000</c:v>
                </c:pt>
                <c:pt idx="73">
                  <c:v>19250</c:v>
                </c:pt>
                <c:pt idx="74">
                  <c:v>19500</c:v>
                </c:pt>
                <c:pt idx="75">
                  <c:v>19750</c:v>
                </c:pt>
                <c:pt idx="76">
                  <c:v>20000</c:v>
                </c:pt>
                <c:pt idx="77">
                  <c:v>20250</c:v>
                </c:pt>
                <c:pt idx="78">
                  <c:v>20500</c:v>
                </c:pt>
                <c:pt idx="79">
                  <c:v>20750</c:v>
                </c:pt>
                <c:pt idx="80">
                  <c:v>21000</c:v>
                </c:pt>
                <c:pt idx="81">
                  <c:v>21250</c:v>
                </c:pt>
                <c:pt idx="82">
                  <c:v>21500</c:v>
                </c:pt>
                <c:pt idx="83">
                  <c:v>21750</c:v>
                </c:pt>
                <c:pt idx="84">
                  <c:v>22000</c:v>
                </c:pt>
                <c:pt idx="85">
                  <c:v>22250</c:v>
                </c:pt>
                <c:pt idx="86">
                  <c:v>22500</c:v>
                </c:pt>
                <c:pt idx="87">
                  <c:v>22750</c:v>
                </c:pt>
                <c:pt idx="88">
                  <c:v>23000</c:v>
                </c:pt>
                <c:pt idx="89">
                  <c:v>23250</c:v>
                </c:pt>
                <c:pt idx="90">
                  <c:v>23500</c:v>
                </c:pt>
                <c:pt idx="91">
                  <c:v>23750</c:v>
                </c:pt>
                <c:pt idx="92">
                  <c:v>24000</c:v>
                </c:pt>
                <c:pt idx="93">
                  <c:v>24250</c:v>
                </c:pt>
                <c:pt idx="94">
                  <c:v>24500</c:v>
                </c:pt>
                <c:pt idx="95">
                  <c:v>24750</c:v>
                </c:pt>
                <c:pt idx="96">
                  <c:v>25000</c:v>
                </c:pt>
                <c:pt idx="97">
                  <c:v>25250</c:v>
                </c:pt>
                <c:pt idx="98">
                  <c:v>25500</c:v>
                </c:pt>
                <c:pt idx="99">
                  <c:v>25750</c:v>
                </c:pt>
                <c:pt idx="100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BA65-4C03-9A18-2A14A761E051}"/>
            </c:ext>
          </c:extLst>
        </c:ser>
        <c:ser>
          <c:idx val="1"/>
          <c:order val="1"/>
          <c:tx>
            <c:v>Max Mach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Numbers!$F$5:$F$105</c:f>
              <c:numCache>
                <c:formatCode>0.000</c:formatCode>
                <c:ptCount val="101"/>
                <c:pt idx="0">
                  <c:v>0.40029165249801002</c:v>
                </c:pt>
                <c:pt idx="1">
                  <c:v>0.40209079371963741</c:v>
                </c:pt>
                <c:pt idx="2">
                  <c:v>0.40390366836923847</c:v>
                </c:pt>
                <c:pt idx="3">
                  <c:v>0.40573042906150092</c:v>
                </c:pt>
                <c:pt idx="4">
                  <c:v>0.4075712306635727</c:v>
                </c:pt>
                <c:pt idx="5">
                  <c:v>0.4094477267683666</c:v>
                </c:pt>
                <c:pt idx="6">
                  <c:v>0.41133887601236052</c:v>
                </c:pt>
                <c:pt idx="7">
                  <c:v>0.41324484488092433</c:v>
                </c:pt>
                <c:pt idx="8">
                  <c:v>0.41516580237130568</c:v>
                </c:pt>
                <c:pt idx="9">
                  <c:v>0.4171160498431945</c:v>
                </c:pt>
                <c:pt idx="10">
                  <c:v>0.4190818536907373</c:v>
                </c:pt>
                <c:pt idx="11">
                  <c:v>0.42106339456448455</c:v>
                </c:pt>
                <c:pt idx="12">
                  <c:v>0.42306085590151199</c:v>
                </c:pt>
                <c:pt idx="13">
                  <c:v>0.42498377016608019</c:v>
                </c:pt>
                <c:pt idx="14">
                  <c:v>0.42692151157367303</c:v>
                </c:pt>
                <c:pt idx="15">
                  <c:v>0.42887424648521727</c:v>
                </c:pt>
                <c:pt idx="16">
                  <c:v>0.43084214374032664</c:v>
                </c:pt>
                <c:pt idx="17">
                  <c:v>0.43288550516164043</c:v>
                </c:pt>
                <c:pt idx="18">
                  <c:v>0.43494531897561439</c:v>
                </c:pt>
                <c:pt idx="19">
                  <c:v>0.43702177802012032</c:v>
                </c:pt>
                <c:pt idx="20">
                  <c:v>0.43911507813527567</c:v>
                </c:pt>
                <c:pt idx="21">
                  <c:v>0.44120460287177088</c:v>
                </c:pt>
                <c:pt idx="22">
                  <c:v>0.443310986913105</c:v>
                </c:pt>
                <c:pt idx="23">
                  <c:v>0.44543442817175399</c:v>
                </c:pt>
                <c:pt idx="24">
                  <c:v>0.4475751276455861</c:v>
                </c:pt>
                <c:pt idx="25">
                  <c:v>0.44964412215544813</c:v>
                </c:pt>
                <c:pt idx="26">
                  <c:v>0.45172933674258098</c:v>
                </c:pt>
                <c:pt idx="27">
                  <c:v>0.45383095641697252</c:v>
                </c:pt>
                <c:pt idx="28">
                  <c:v>0.45594916899090265</c:v>
                </c:pt>
                <c:pt idx="29">
                  <c:v>0.4581650346634476</c:v>
                </c:pt>
                <c:pt idx="30">
                  <c:v>0.46039918611287062</c:v>
                </c:pt>
                <c:pt idx="31">
                  <c:v>0.46265184303692558</c:v>
                </c:pt>
                <c:pt idx="32">
                  <c:v>0.46492322863990604</c:v>
                </c:pt>
                <c:pt idx="33">
                  <c:v>0.46718670213499147</c:v>
                </c:pt>
                <c:pt idx="34">
                  <c:v>0.46946888233739553</c:v>
                </c:pt>
                <c:pt idx="35">
                  <c:v>0.47176999431391847</c:v>
                </c:pt>
                <c:pt idx="36">
                  <c:v>0.47409026672843557</c:v>
                </c:pt>
                <c:pt idx="37">
                  <c:v>0.47636492848684875</c:v>
                </c:pt>
                <c:pt idx="38">
                  <c:v>0.47865812407108166</c:v>
                </c:pt>
                <c:pt idx="39">
                  <c:v>0.48097007335064162</c:v>
                </c:pt>
                <c:pt idx="40">
                  <c:v>0.48330099965997358</c:v>
                </c:pt>
                <c:pt idx="41">
                  <c:v>0.48566450610642775</c:v>
                </c:pt>
                <c:pt idx="42">
                  <c:v>0.48804760275534304</c:v>
                </c:pt>
                <c:pt idx="43">
                  <c:v>0.4904505258216586</c:v>
                </c:pt>
                <c:pt idx="44">
                  <c:v>0.49287351530289231</c:v>
                </c:pt>
                <c:pt idx="45">
                  <c:v>0.49534863771184762</c:v>
                </c:pt>
                <c:pt idx="46">
                  <c:v>0.49784488406832667</c:v>
                </c:pt>
                <c:pt idx="47">
                  <c:v>0.50036251697360756</c:v>
                </c:pt>
                <c:pt idx="48">
                  <c:v>0.50290180336679524</c:v>
                </c:pt>
                <c:pt idx="49">
                  <c:v>0.5053445818780703</c:v>
                </c:pt>
                <c:pt idx="50">
                  <c:v>0.50780747796256898</c:v>
                </c:pt>
                <c:pt idx="51">
                  <c:v>0.51029073267403557</c:v>
                </c:pt>
                <c:pt idx="52">
                  <c:v>0.51279459090222834</c:v>
                </c:pt>
                <c:pt idx="53">
                  <c:v>0.51536369147198491</c:v>
                </c:pt>
                <c:pt idx="54">
                  <c:v>0.51795462309114415</c:v>
                </c:pt>
                <c:pt idx="55">
                  <c:v>0.52056765573317443</c:v>
                </c:pt>
                <c:pt idx="56">
                  <c:v>0.52320306380630799</c:v>
                </c:pt>
                <c:pt idx="57">
                  <c:v>0.52588196845319402</c:v>
                </c:pt>
                <c:pt idx="58">
                  <c:v>0.52858417126186119</c:v>
                </c:pt>
                <c:pt idx="59">
                  <c:v>0.53130996731402669</c:v>
                </c:pt>
                <c:pt idx="60">
                  <c:v>0.53405965665740129</c:v>
                </c:pt>
                <c:pt idx="61">
                  <c:v>0.53671700396235855</c:v>
                </c:pt>
                <c:pt idx="62">
                  <c:v>0.53939678414303149</c:v>
                </c:pt>
                <c:pt idx="63">
                  <c:v>0.54209927282718828</c:v>
                </c:pt>
                <c:pt idx="64">
                  <c:v>0.54482475014116927</c:v>
                </c:pt>
                <c:pt idx="65">
                  <c:v>0.54766276550457038</c:v>
                </c:pt>
                <c:pt idx="66">
                  <c:v>0.55000000000000004</c:v>
                </c:pt>
                <c:pt idx="67">
                  <c:v>0.55000000000000004</c:v>
                </c:pt>
                <c:pt idx="68">
                  <c:v>0.55000000000000004</c:v>
                </c:pt>
                <c:pt idx="69">
                  <c:v>0.55000000000000004</c:v>
                </c:pt>
                <c:pt idx="70">
                  <c:v>0.55000000000000004</c:v>
                </c:pt>
                <c:pt idx="71">
                  <c:v>0.55000000000000004</c:v>
                </c:pt>
                <c:pt idx="72">
                  <c:v>0.55000000000000004</c:v>
                </c:pt>
                <c:pt idx="73">
                  <c:v>0.55000000000000004</c:v>
                </c:pt>
                <c:pt idx="74">
                  <c:v>0.55000000000000004</c:v>
                </c:pt>
                <c:pt idx="75">
                  <c:v>0.55000000000000004</c:v>
                </c:pt>
                <c:pt idx="76">
                  <c:v>0.55000000000000004</c:v>
                </c:pt>
                <c:pt idx="77">
                  <c:v>0.55000000000000004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0.55000000000000004</c:v>
                </c:pt>
                <c:pt idx="81">
                  <c:v>0.55000000000000004</c:v>
                </c:pt>
                <c:pt idx="82">
                  <c:v>0.55000000000000004</c:v>
                </c:pt>
                <c:pt idx="83">
                  <c:v>0.55000000000000004</c:v>
                </c:pt>
                <c:pt idx="84">
                  <c:v>0.55000000000000004</c:v>
                </c:pt>
                <c:pt idx="85">
                  <c:v>0.55000000000000004</c:v>
                </c:pt>
                <c:pt idx="86">
                  <c:v>0.55000000000000004</c:v>
                </c:pt>
                <c:pt idx="87">
                  <c:v>0.55000000000000004</c:v>
                </c:pt>
                <c:pt idx="88">
                  <c:v>0.55000000000000004</c:v>
                </c:pt>
                <c:pt idx="89">
                  <c:v>0.55000000000000004</c:v>
                </c:pt>
                <c:pt idx="90">
                  <c:v>0.55000000000000004</c:v>
                </c:pt>
                <c:pt idx="91">
                  <c:v>0.55000000000000004</c:v>
                </c:pt>
                <c:pt idx="92">
                  <c:v>0.55000000000000004</c:v>
                </c:pt>
                <c:pt idx="93">
                  <c:v>0.55000000000000004</c:v>
                </c:pt>
                <c:pt idx="94">
                  <c:v>0.55000000000000004</c:v>
                </c:pt>
                <c:pt idx="95">
                  <c:v>0.55000000000000004</c:v>
                </c:pt>
                <c:pt idx="96">
                  <c:v>0.55000000000000004</c:v>
                </c:pt>
                <c:pt idx="97">
                  <c:v>0.55000000000000004</c:v>
                </c:pt>
                <c:pt idx="98">
                  <c:v>0.55000000000000004</c:v>
                </c:pt>
                <c:pt idx="99">
                  <c:v>0.55000000000000004</c:v>
                </c:pt>
                <c:pt idx="100">
                  <c:v>0.55000000000000004</c:v>
                </c:pt>
              </c:numCache>
            </c:numRef>
          </c:xVal>
          <c:yVal>
            <c:numRef>
              <c:f>Numbers!$A$5:$A$105</c:f>
              <c:numCache>
                <c:formatCode>General</c:formatCode>
                <c:ptCount val="101"/>
                <c:pt idx="0">
                  <c:v>1000</c:v>
                </c:pt>
                <c:pt idx="1">
                  <c:v>1250</c:v>
                </c:pt>
                <c:pt idx="2">
                  <c:v>1500</c:v>
                </c:pt>
                <c:pt idx="3">
                  <c:v>1750</c:v>
                </c:pt>
                <c:pt idx="4">
                  <c:v>2000</c:v>
                </c:pt>
                <c:pt idx="5">
                  <c:v>2250</c:v>
                </c:pt>
                <c:pt idx="6">
                  <c:v>2500</c:v>
                </c:pt>
                <c:pt idx="7">
                  <c:v>2750</c:v>
                </c:pt>
                <c:pt idx="8">
                  <c:v>3000</c:v>
                </c:pt>
                <c:pt idx="9">
                  <c:v>3250</c:v>
                </c:pt>
                <c:pt idx="10">
                  <c:v>3500</c:v>
                </c:pt>
                <c:pt idx="11">
                  <c:v>3750</c:v>
                </c:pt>
                <c:pt idx="12">
                  <c:v>4000</c:v>
                </c:pt>
                <c:pt idx="13">
                  <c:v>4250</c:v>
                </c:pt>
                <c:pt idx="14">
                  <c:v>4500</c:v>
                </c:pt>
                <c:pt idx="15">
                  <c:v>4750</c:v>
                </c:pt>
                <c:pt idx="16">
                  <c:v>5000</c:v>
                </c:pt>
                <c:pt idx="17">
                  <c:v>5250</c:v>
                </c:pt>
                <c:pt idx="18">
                  <c:v>5500</c:v>
                </c:pt>
                <c:pt idx="19">
                  <c:v>5750</c:v>
                </c:pt>
                <c:pt idx="20">
                  <c:v>6000</c:v>
                </c:pt>
                <c:pt idx="21">
                  <c:v>6250</c:v>
                </c:pt>
                <c:pt idx="22">
                  <c:v>6500</c:v>
                </c:pt>
                <c:pt idx="23">
                  <c:v>6750</c:v>
                </c:pt>
                <c:pt idx="24">
                  <c:v>7000</c:v>
                </c:pt>
                <c:pt idx="25">
                  <c:v>7250</c:v>
                </c:pt>
                <c:pt idx="26">
                  <c:v>7500</c:v>
                </c:pt>
                <c:pt idx="27">
                  <c:v>7750</c:v>
                </c:pt>
                <c:pt idx="28">
                  <c:v>8000</c:v>
                </c:pt>
                <c:pt idx="29">
                  <c:v>8250</c:v>
                </c:pt>
                <c:pt idx="30">
                  <c:v>8500</c:v>
                </c:pt>
                <c:pt idx="31">
                  <c:v>8750</c:v>
                </c:pt>
                <c:pt idx="32">
                  <c:v>9000</c:v>
                </c:pt>
                <c:pt idx="33">
                  <c:v>9250</c:v>
                </c:pt>
                <c:pt idx="34">
                  <c:v>9500</c:v>
                </c:pt>
                <c:pt idx="35">
                  <c:v>9750</c:v>
                </c:pt>
                <c:pt idx="36">
                  <c:v>10000</c:v>
                </c:pt>
                <c:pt idx="37">
                  <c:v>10250</c:v>
                </c:pt>
                <c:pt idx="38">
                  <c:v>10500</c:v>
                </c:pt>
                <c:pt idx="39">
                  <c:v>10750</c:v>
                </c:pt>
                <c:pt idx="40">
                  <c:v>11000</c:v>
                </c:pt>
                <c:pt idx="41">
                  <c:v>11250</c:v>
                </c:pt>
                <c:pt idx="42">
                  <c:v>11500</c:v>
                </c:pt>
                <c:pt idx="43">
                  <c:v>11750</c:v>
                </c:pt>
                <c:pt idx="44">
                  <c:v>12000</c:v>
                </c:pt>
                <c:pt idx="45">
                  <c:v>12250</c:v>
                </c:pt>
                <c:pt idx="46">
                  <c:v>12500</c:v>
                </c:pt>
                <c:pt idx="47">
                  <c:v>12750</c:v>
                </c:pt>
                <c:pt idx="48">
                  <c:v>13000</c:v>
                </c:pt>
                <c:pt idx="49">
                  <c:v>13250</c:v>
                </c:pt>
                <c:pt idx="50">
                  <c:v>13500</c:v>
                </c:pt>
                <c:pt idx="51">
                  <c:v>13750</c:v>
                </c:pt>
                <c:pt idx="52">
                  <c:v>14000</c:v>
                </c:pt>
                <c:pt idx="53">
                  <c:v>14250</c:v>
                </c:pt>
                <c:pt idx="54">
                  <c:v>14500</c:v>
                </c:pt>
                <c:pt idx="55">
                  <c:v>14750</c:v>
                </c:pt>
                <c:pt idx="56">
                  <c:v>15000</c:v>
                </c:pt>
                <c:pt idx="57">
                  <c:v>15250</c:v>
                </c:pt>
                <c:pt idx="58">
                  <c:v>15500</c:v>
                </c:pt>
                <c:pt idx="59">
                  <c:v>15750</c:v>
                </c:pt>
                <c:pt idx="60">
                  <c:v>16000</c:v>
                </c:pt>
                <c:pt idx="61">
                  <c:v>16250</c:v>
                </c:pt>
                <c:pt idx="62">
                  <c:v>16500</c:v>
                </c:pt>
                <c:pt idx="63">
                  <c:v>16750</c:v>
                </c:pt>
                <c:pt idx="64">
                  <c:v>17000</c:v>
                </c:pt>
                <c:pt idx="65">
                  <c:v>17250</c:v>
                </c:pt>
                <c:pt idx="66">
                  <c:v>17500</c:v>
                </c:pt>
                <c:pt idx="67">
                  <c:v>17750</c:v>
                </c:pt>
                <c:pt idx="68">
                  <c:v>18000</c:v>
                </c:pt>
                <c:pt idx="69">
                  <c:v>18250</c:v>
                </c:pt>
                <c:pt idx="70">
                  <c:v>18500</c:v>
                </c:pt>
                <c:pt idx="71">
                  <c:v>18750</c:v>
                </c:pt>
                <c:pt idx="72">
                  <c:v>19000</c:v>
                </c:pt>
                <c:pt idx="73">
                  <c:v>19250</c:v>
                </c:pt>
                <c:pt idx="74">
                  <c:v>19500</c:v>
                </c:pt>
                <c:pt idx="75">
                  <c:v>19750</c:v>
                </c:pt>
                <c:pt idx="76">
                  <c:v>20000</c:v>
                </c:pt>
                <c:pt idx="77">
                  <c:v>20250</c:v>
                </c:pt>
                <c:pt idx="78">
                  <c:v>20500</c:v>
                </c:pt>
                <c:pt idx="79">
                  <c:v>20750</c:v>
                </c:pt>
                <c:pt idx="80">
                  <c:v>21000</c:v>
                </c:pt>
                <c:pt idx="81">
                  <c:v>21250</c:v>
                </c:pt>
                <c:pt idx="82">
                  <c:v>21500</c:v>
                </c:pt>
                <c:pt idx="83">
                  <c:v>21750</c:v>
                </c:pt>
                <c:pt idx="84">
                  <c:v>22000</c:v>
                </c:pt>
                <c:pt idx="85">
                  <c:v>22250</c:v>
                </c:pt>
                <c:pt idx="86">
                  <c:v>22500</c:v>
                </c:pt>
                <c:pt idx="87">
                  <c:v>22750</c:v>
                </c:pt>
                <c:pt idx="88">
                  <c:v>23000</c:v>
                </c:pt>
                <c:pt idx="89">
                  <c:v>23250</c:v>
                </c:pt>
                <c:pt idx="90">
                  <c:v>23500</c:v>
                </c:pt>
                <c:pt idx="91">
                  <c:v>23750</c:v>
                </c:pt>
                <c:pt idx="92">
                  <c:v>24000</c:v>
                </c:pt>
                <c:pt idx="93">
                  <c:v>24250</c:v>
                </c:pt>
                <c:pt idx="94">
                  <c:v>24500</c:v>
                </c:pt>
                <c:pt idx="95">
                  <c:v>24750</c:v>
                </c:pt>
                <c:pt idx="96">
                  <c:v>25000</c:v>
                </c:pt>
                <c:pt idx="97">
                  <c:v>25250</c:v>
                </c:pt>
                <c:pt idx="98">
                  <c:v>25500</c:v>
                </c:pt>
                <c:pt idx="99">
                  <c:v>25750</c:v>
                </c:pt>
                <c:pt idx="100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BA65-4C03-9A18-2A14A761E051}"/>
            </c:ext>
          </c:extLst>
        </c:ser>
        <c:ser>
          <c:idx val="2"/>
          <c:order val="2"/>
          <c:tx>
            <c:v>Max Altitude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(Numbers!$B$105,Numbers!$F$105)</c:f>
              <c:numCache>
                <c:formatCode>0.000</c:formatCode>
                <c:ptCount val="2"/>
                <c:pt idx="0">
                  <c:v>0.30897708950435793</c:v>
                </c:pt>
                <c:pt idx="1">
                  <c:v>0.55000000000000004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26000</c:v>
              </c:pt>
              <c:pt idx="1">
                <c:v>26000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A65-4C03-9A18-2A14A761E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V-n Diagram (Sea Level)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Max Load Factor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Numbers!$H$2:$H$41</c:f>
              <c:numCache>
                <c:formatCode>General</c:formatCode>
                <c:ptCount val="4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</c:numCache>
            </c:numRef>
          </c:xVal>
          <c:yVal>
            <c:numRef>
              <c:f>Numbers!$I$2:$I$41</c:f>
              <c:numCache>
                <c:formatCode>General</c:formatCode>
                <c:ptCount val="40"/>
                <c:pt idx="0">
                  <c:v>0</c:v>
                </c:pt>
                <c:pt idx="1">
                  <c:v>8.3992275423936478E-3</c:v>
                </c:pt>
                <c:pt idx="2">
                  <c:v>3.3596910169574591E-2</c:v>
                </c:pt>
                <c:pt idx="3">
                  <c:v>7.5593047881542821E-2</c:v>
                </c:pt>
                <c:pt idx="4">
                  <c:v>0.13438764067829836</c:v>
                </c:pt>
                <c:pt idx="5">
                  <c:v>0.20998068855984126</c:v>
                </c:pt>
                <c:pt idx="6">
                  <c:v>0.30237219152617129</c:v>
                </c:pt>
                <c:pt idx="7">
                  <c:v>0.41156214957728882</c:v>
                </c:pt>
                <c:pt idx="8">
                  <c:v>0.53755056271319346</c:v>
                </c:pt>
                <c:pt idx="9">
                  <c:v>0.68033743093388532</c:v>
                </c:pt>
                <c:pt idx="10">
                  <c:v>0.83992275423936502</c:v>
                </c:pt>
                <c:pt idx="11">
                  <c:v>1.0163065326296314</c:v>
                </c:pt>
                <c:pt idx="12">
                  <c:v>1.2094887661046851</c:v>
                </c:pt>
                <c:pt idx="13">
                  <c:v>1.4194694546645266</c:v>
                </c:pt>
                <c:pt idx="14">
                  <c:v>1.6462485983091553</c:v>
                </c:pt>
                <c:pt idx="15">
                  <c:v>1.8898261970385706</c:v>
                </c:pt>
                <c:pt idx="16">
                  <c:v>2.1502022508527738</c:v>
                </c:pt>
                <c:pt idx="17">
                  <c:v>2.4273767597517639</c:v>
                </c:pt>
                <c:pt idx="18">
                  <c:v>2.7213497237355413</c:v>
                </c:pt>
                <c:pt idx="19">
                  <c:v>3.0321211428041073</c:v>
                </c:pt>
                <c:pt idx="20">
                  <c:v>3.3596910169574601</c:v>
                </c:pt>
                <c:pt idx="21">
                  <c:v>3.7040593461955993</c:v>
                </c:pt>
                <c:pt idx="22">
                  <c:v>4.0652261305185258</c:v>
                </c:pt>
                <c:pt idx="23">
                  <c:v>4.4431913699262395</c:v>
                </c:pt>
                <c:pt idx="24">
                  <c:v>4.8379550644187406</c:v>
                </c:pt>
                <c:pt idx="25">
                  <c:v>5.2495172139960307</c:v>
                </c:pt>
                <c:pt idx="26">
                  <c:v>5.6778778186581063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38-42A2-B249-9CEFC6A3DC3E}"/>
            </c:ext>
          </c:extLst>
        </c:ser>
        <c:ser>
          <c:idx val="1"/>
          <c:order val="1"/>
          <c:tx>
            <c:v>Min Load Factor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Numbers!$H$2:$H$41</c:f>
              <c:numCache>
                <c:formatCode>General</c:formatCode>
                <c:ptCount val="4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</c:numCache>
            </c:numRef>
          </c:xVal>
          <c:yVal>
            <c:numRef>
              <c:f>Numbers!$J$2:$J$41</c:f>
              <c:numCache>
                <c:formatCode>General</c:formatCode>
                <c:ptCount val="40"/>
                <c:pt idx="0">
                  <c:v>0</c:v>
                </c:pt>
                <c:pt idx="1">
                  <c:v>-8.3992275423936478E-3</c:v>
                </c:pt>
                <c:pt idx="2">
                  <c:v>-3.3596910169574591E-2</c:v>
                </c:pt>
                <c:pt idx="3">
                  <c:v>-7.5593047881542821E-2</c:v>
                </c:pt>
                <c:pt idx="4">
                  <c:v>-0.13438764067829836</c:v>
                </c:pt>
                <c:pt idx="5">
                  <c:v>-0.20998068855984126</c:v>
                </c:pt>
                <c:pt idx="6">
                  <c:v>-0.30237219152617129</c:v>
                </c:pt>
                <c:pt idx="7">
                  <c:v>-0.41156214957728882</c:v>
                </c:pt>
                <c:pt idx="8">
                  <c:v>-0.53755056271319346</c:v>
                </c:pt>
                <c:pt idx="9">
                  <c:v>-0.68033743093388532</c:v>
                </c:pt>
                <c:pt idx="10">
                  <c:v>-0.83992275423936502</c:v>
                </c:pt>
                <c:pt idx="11">
                  <c:v>-1.0163065326296314</c:v>
                </c:pt>
                <c:pt idx="12">
                  <c:v>-1.2094887661046851</c:v>
                </c:pt>
                <c:pt idx="13">
                  <c:v>-1.4194694546645266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  <c:pt idx="31">
                  <c:v>-1.5</c:v>
                </c:pt>
                <c:pt idx="32">
                  <c:v>-1.5</c:v>
                </c:pt>
                <c:pt idx="33">
                  <c:v>-1.5</c:v>
                </c:pt>
                <c:pt idx="34">
                  <c:v>-1.5</c:v>
                </c:pt>
                <c:pt idx="35">
                  <c:v>-1.5</c:v>
                </c:pt>
                <c:pt idx="36">
                  <c:v>-1.5</c:v>
                </c:pt>
                <c:pt idx="37">
                  <c:v>-1.5</c:v>
                </c:pt>
                <c:pt idx="38">
                  <c:v>-1.5</c:v>
                </c:pt>
                <c:pt idx="39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38-42A2-B249-9CEFC6A3DC3E}"/>
            </c:ext>
          </c:extLst>
        </c:ser>
        <c:ser>
          <c:idx val="2"/>
          <c:order val="2"/>
          <c:tx>
            <c:v>Max Mach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(Numbers!$H$41,Numbers!$H$41)</c:f>
              <c:numCache>
                <c:formatCode>General</c:formatCode>
                <c:ptCount val="2"/>
                <c:pt idx="0">
                  <c:v>0.39</c:v>
                </c:pt>
                <c:pt idx="1">
                  <c:v>0.39</c:v>
                </c:pt>
              </c:numCache>
            </c:numRef>
          </c:xVal>
          <c:yVal>
            <c:numRef>
              <c:f>(Numbers!$I$41,Numbers!$J$41)</c:f>
              <c:numCache>
                <c:formatCode>General</c:formatCode>
                <c:ptCount val="2"/>
                <c:pt idx="0">
                  <c:v>6</c:v>
                </c:pt>
                <c:pt idx="1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C38-42A2-B249-9CEFC6A3D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V-n Diagram (10,000 ft)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Max Load Factor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Numbers!$L$2:$L$49</c:f>
              <c:numCache>
                <c:formatCode>General</c:formatCode>
                <c:ptCount val="48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</c:numCache>
            </c:numRef>
          </c:xVal>
          <c:yVal>
            <c:numRef>
              <c:f>Numbers!$M$2:$M$49</c:f>
              <c:numCache>
                <c:formatCode>General</c:formatCode>
                <c:ptCount val="48"/>
                <c:pt idx="0">
                  <c:v>0</c:v>
                </c:pt>
                <c:pt idx="1">
                  <c:v>5.774537849558406E-3</c:v>
                </c:pt>
                <c:pt idx="2">
                  <c:v>2.3098151398233624E-2</c:v>
                </c:pt>
                <c:pt idx="3">
                  <c:v>5.1970840646025633E-2</c:v>
                </c:pt>
                <c:pt idx="4">
                  <c:v>9.2392605592934496E-2</c:v>
                </c:pt>
                <c:pt idx="5">
                  <c:v>0.14436344623896011</c:v>
                </c:pt>
                <c:pt idx="6">
                  <c:v>0.20788336258410253</c:v>
                </c:pt>
                <c:pt idx="7">
                  <c:v>0.28295235462836182</c:v>
                </c:pt>
                <c:pt idx="8">
                  <c:v>0.36957042237173798</c:v>
                </c:pt>
                <c:pt idx="9">
                  <c:v>0.46773756581423076</c:v>
                </c:pt>
                <c:pt idx="10">
                  <c:v>0.57745378495584043</c:v>
                </c:pt>
                <c:pt idx="11">
                  <c:v>0.69871907979656689</c:v>
                </c:pt>
                <c:pt idx="12">
                  <c:v>0.83153345033641013</c:v>
                </c:pt>
                <c:pt idx="13">
                  <c:v>0.97589689657537015</c:v>
                </c:pt>
                <c:pt idx="14">
                  <c:v>1.1318094185134473</c:v>
                </c:pt>
                <c:pt idx="15">
                  <c:v>1.2992710161506411</c:v>
                </c:pt>
                <c:pt idx="16">
                  <c:v>1.4782816894869519</c:v>
                </c:pt>
                <c:pt idx="17">
                  <c:v>1.6688414385223791</c:v>
                </c:pt>
                <c:pt idx="18">
                  <c:v>1.870950263256923</c:v>
                </c:pt>
                <c:pt idx="19">
                  <c:v>2.084608163690584</c:v>
                </c:pt>
                <c:pt idx="20">
                  <c:v>2.3098151398233617</c:v>
                </c:pt>
                <c:pt idx="21">
                  <c:v>2.5465711916552558</c:v>
                </c:pt>
                <c:pt idx="22">
                  <c:v>2.7948763191862676</c:v>
                </c:pt>
                <c:pt idx="23">
                  <c:v>3.054730522416397</c:v>
                </c:pt>
                <c:pt idx="24">
                  <c:v>3.3261338013456405</c:v>
                </c:pt>
                <c:pt idx="25">
                  <c:v>3.6090861559740031</c:v>
                </c:pt>
                <c:pt idx="26">
                  <c:v>3.9035875863014806</c:v>
                </c:pt>
                <c:pt idx="27">
                  <c:v>4.2096380923280767</c:v>
                </c:pt>
                <c:pt idx="28">
                  <c:v>4.5272376740537892</c:v>
                </c:pt>
                <c:pt idx="29">
                  <c:v>4.8563863314786166</c:v>
                </c:pt>
                <c:pt idx="30">
                  <c:v>5.1970840646025644</c:v>
                </c:pt>
                <c:pt idx="31">
                  <c:v>5.5493308734256264</c:v>
                </c:pt>
                <c:pt idx="32">
                  <c:v>5.9131267579478077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66E-903E-CBFFCBDF6C66}"/>
            </c:ext>
          </c:extLst>
        </c:ser>
        <c:ser>
          <c:idx val="1"/>
          <c:order val="1"/>
          <c:tx>
            <c:v>Min Load Factor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Numbers!$L$2:$L$49</c:f>
              <c:numCache>
                <c:formatCode>General</c:formatCode>
                <c:ptCount val="48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</c:numCache>
            </c:numRef>
          </c:xVal>
          <c:yVal>
            <c:numRef>
              <c:f>Numbers!$N$2:$N$49</c:f>
              <c:numCache>
                <c:formatCode>General</c:formatCode>
                <c:ptCount val="48"/>
                <c:pt idx="0">
                  <c:v>0</c:v>
                </c:pt>
                <c:pt idx="1">
                  <c:v>-5.774537849558406E-3</c:v>
                </c:pt>
                <c:pt idx="2">
                  <c:v>-2.3098151398233624E-2</c:v>
                </c:pt>
                <c:pt idx="3">
                  <c:v>-5.1970840646025633E-2</c:v>
                </c:pt>
                <c:pt idx="4">
                  <c:v>-9.2392605592934496E-2</c:v>
                </c:pt>
                <c:pt idx="5">
                  <c:v>-0.14436344623896011</c:v>
                </c:pt>
                <c:pt idx="6">
                  <c:v>-0.20788336258410253</c:v>
                </c:pt>
                <c:pt idx="7">
                  <c:v>-0.28295235462836182</c:v>
                </c:pt>
                <c:pt idx="8">
                  <c:v>-0.36957042237173798</c:v>
                </c:pt>
                <c:pt idx="9">
                  <c:v>-0.46773756581423076</c:v>
                </c:pt>
                <c:pt idx="10">
                  <c:v>-0.57745378495584043</c:v>
                </c:pt>
                <c:pt idx="11">
                  <c:v>-0.69871907979656689</c:v>
                </c:pt>
                <c:pt idx="12">
                  <c:v>-0.83153345033641013</c:v>
                </c:pt>
                <c:pt idx="13">
                  <c:v>-0.97589689657537015</c:v>
                </c:pt>
                <c:pt idx="14">
                  <c:v>-1.1318094185134473</c:v>
                </c:pt>
                <c:pt idx="15">
                  <c:v>-1.2992710161506411</c:v>
                </c:pt>
                <c:pt idx="16">
                  <c:v>-1.4782816894869519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  <c:pt idx="31">
                  <c:v>-1.5</c:v>
                </c:pt>
                <c:pt idx="32">
                  <c:v>-1.5</c:v>
                </c:pt>
                <c:pt idx="33">
                  <c:v>-1.5</c:v>
                </c:pt>
                <c:pt idx="34">
                  <c:v>-1.5</c:v>
                </c:pt>
                <c:pt idx="35">
                  <c:v>-1.5</c:v>
                </c:pt>
                <c:pt idx="36">
                  <c:v>-1.5</c:v>
                </c:pt>
                <c:pt idx="37">
                  <c:v>-1.5</c:v>
                </c:pt>
                <c:pt idx="38">
                  <c:v>-1.5</c:v>
                </c:pt>
                <c:pt idx="39">
                  <c:v>-1.5</c:v>
                </c:pt>
                <c:pt idx="40">
                  <c:v>-1.5</c:v>
                </c:pt>
                <c:pt idx="41">
                  <c:v>-1.5</c:v>
                </c:pt>
                <c:pt idx="42">
                  <c:v>-1.5</c:v>
                </c:pt>
                <c:pt idx="43">
                  <c:v>-1.5</c:v>
                </c:pt>
                <c:pt idx="44">
                  <c:v>-1.5</c:v>
                </c:pt>
                <c:pt idx="45">
                  <c:v>-1.5</c:v>
                </c:pt>
                <c:pt idx="46">
                  <c:v>-1.5</c:v>
                </c:pt>
                <c:pt idx="47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EC-466E-903E-CBFFCBDF6C66}"/>
            </c:ext>
          </c:extLst>
        </c:ser>
        <c:ser>
          <c:idx val="2"/>
          <c:order val="2"/>
          <c:tx>
            <c:v>Max Mach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(Numbers!$L$49,Numbers!$L$49)</c:f>
              <c:numCache>
                <c:formatCode>General</c:formatCode>
                <c:ptCount val="2"/>
                <c:pt idx="0">
                  <c:v>0.47</c:v>
                </c:pt>
                <c:pt idx="1">
                  <c:v>0.47</c:v>
                </c:pt>
              </c:numCache>
            </c:numRef>
          </c:xVal>
          <c:yVal>
            <c:numRef>
              <c:f>(Numbers!$M$49,Numbers!$N$49)</c:f>
              <c:numCache>
                <c:formatCode>General</c:formatCode>
                <c:ptCount val="2"/>
                <c:pt idx="0">
                  <c:v>6</c:v>
                </c:pt>
                <c:pt idx="1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66E-903E-CBFFCBDF6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D56B88-5091-3561-8ED1-1A020E14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AC5F0C-671F-4273-9B59-C72C06AD7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91DAFC-4B49-48F7-BF46-26D7BDCFC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J1" workbookViewId="0">
      <selection activeCell="M13" sqref="M13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5"/>
  <sheetViews>
    <sheetView topLeftCell="E2" workbookViewId="0">
      <selection activeCell="H53" sqref="H53"/>
    </sheetView>
  </sheetViews>
  <sheetFormatPr defaultRowHeight="15" x14ac:dyDescent="0.25"/>
  <cols>
    <col min="1" max="1" width="8.28515625" bestFit="1" customWidth="1"/>
    <col min="2" max="2" width="9.5703125" bestFit="1" customWidth="1"/>
    <col min="3" max="3" width="10.42578125" bestFit="1" customWidth="1"/>
    <col min="4" max="4" width="9.85546875" bestFit="1" customWidth="1"/>
    <col min="5" max="5" width="10.7109375" bestFit="1" customWidth="1"/>
    <col min="6" max="6" width="11.5703125" customWidth="1"/>
    <col min="8" max="8" width="13.5703125" bestFit="1" customWidth="1"/>
    <col min="9" max="9" width="15.28515625" bestFit="1" customWidth="1"/>
    <col min="10" max="10" width="15" bestFit="1" customWidth="1"/>
    <col min="12" max="12" width="13.5703125" bestFit="1" customWidth="1"/>
    <col min="13" max="13" width="15.28515625" bestFit="1" customWidth="1"/>
    <col min="14" max="14" width="15" bestFit="1" customWidth="1"/>
  </cols>
  <sheetData>
    <row r="1" spans="1:14" x14ac:dyDescent="0.25">
      <c r="A1" t="s">
        <v>15</v>
      </c>
      <c r="B1" t="s">
        <v>18</v>
      </c>
      <c r="C1" t="s">
        <v>16</v>
      </c>
      <c r="D1" t="s">
        <v>19</v>
      </c>
      <c r="E1" t="s">
        <v>17</v>
      </c>
      <c r="F1" t="s">
        <v>23</v>
      </c>
      <c r="G1" t="s">
        <v>21</v>
      </c>
      <c r="H1" t="s">
        <v>20</v>
      </c>
      <c r="I1" t="s">
        <v>24</v>
      </c>
      <c r="J1" t="s">
        <v>25</v>
      </c>
      <c r="K1" t="s">
        <v>22</v>
      </c>
      <c r="L1" t="s">
        <v>20</v>
      </c>
      <c r="M1" t="s">
        <v>24</v>
      </c>
      <c r="N1" t="s">
        <v>25</v>
      </c>
    </row>
    <row r="2" spans="1:14" x14ac:dyDescent="0.25">
      <c r="A2">
        <v>250</v>
      </c>
      <c r="B2" s="1" cm="1">
        <f t="array" ref="B2">C2/linterp(A2,atmos_h,atmos_vela)</f>
        <v>0.1850043586433936</v>
      </c>
      <c r="C2" s="2" cm="1">
        <f t="array" ref="C2">SQRT((2/linterp(A2,atmos_h,atmos_rho))*(900/37.8)*(1/1.35))</f>
        <v>122.26475551845274</v>
      </c>
      <c r="D2">
        <v>0.55000000000000004</v>
      </c>
      <c r="E2" cm="1">
        <f t="array" ref="E2">260/linterp(A2,atmos_h,atmos_sqrtdr)</f>
        <v>260.95247653936866</v>
      </c>
      <c r="F2" s="1" cm="1">
        <f t="array" ref="F2">IF(E2/linterp(A2,atmos_h,atmos_vela)&gt;D2,D2,E2/linterp(A2,atmos_h,atmos_vela))</f>
        <v>0.39485905283051814</v>
      </c>
      <c r="H2">
        <v>0</v>
      </c>
      <c r="I2" cm="1">
        <f t="array" ref="I2">IF(H2&lt;$H$54,IF((1.35*0.5*linterp(0,atmos_h,atmos_rho)*((H2*linterp(0,atmos_h,atmos_aspeed))^2)*37.8)/900&gt;6,6,(1.35*0.5*linterp(0,atmos_h,atmos_rho)*((H2*linterp(0,atmos_h,atmos_aspeed))^2)*37.8)/900),0)</f>
        <v>0</v>
      </c>
      <c r="J2" cm="1">
        <f t="array" ref="J2">IF(H2&lt;$H$54,IF(-1*(1.35*0.5*linterp(0,atmos_h,atmos_rho)*((H2*linterp(0,atmos_h,atmos_aspeed))^2)*37.8)/900&lt;-1.5,-1.5,-1*(1.35*0.5*linterp(0,atmos_h,atmos_rho)*((H2*linterp(0,atmos_h,atmos_aspeed))^2)*37.8)/900),0)</f>
        <v>0</v>
      </c>
      <c r="L2">
        <v>0</v>
      </c>
      <c r="M2" cm="1">
        <f t="array" ref="M2">IF(L2&lt;$F$41,IF((1.35*0.5*linterp(10000,atmos_h,atmos_rho)*((L2*linterp(10000,atmos_h,atmos_aspeed))^2)*37.8)/900&gt;6,6,(1.35*0.5*linterp(10000,atmos_h,atmos_rho)*((L2*linterp(10000,atmos_h,atmos_aspeed))^2)*37.8)/900),0)</f>
        <v>0</v>
      </c>
      <c r="N2" cm="1">
        <f t="array" ref="N2">IF(L2&lt;$F$41,IF(-1*(1.35*0.5*linterp(10000,atmos_h,atmos_rho)*((L2*linterp(10000,atmos_h,atmos_aspeed))^2)*37.8)/900&lt;-1.5,-1.5,-1*(1.35*0.5*linterp(10000,atmos_h,atmos_rho)*((L2*linterp(10000,atmos_h,atmos_aspeed))^2)*37.8)/900),0)</f>
        <v>0</v>
      </c>
    </row>
    <row r="3" spans="1:14" x14ac:dyDescent="0.25">
      <c r="A3">
        <v>500</v>
      </c>
      <c r="B3" s="1" cm="1">
        <f t="array" ref="B3">C3/linterp(A3,atmos_h,atmos_vela)</f>
        <v>0.18584433355009536</v>
      </c>
      <c r="C3" s="2" cm="1">
        <f t="array" ref="C3">SQRT((2/linterp(A3,atmos_h,atmos_rho))*(900/37.8)*(1/1.35))</f>
        <v>122.71301344312795</v>
      </c>
      <c r="D3">
        <v>0.55000000000000004</v>
      </c>
      <c r="E3" cm="1">
        <f t="array" ref="E3">260/linterp(A3,atmos_h,atmos_sqrtdr)</f>
        <v>261.91195728820389</v>
      </c>
      <c r="F3" s="1" cm="1">
        <f t="array" ref="F3">IF(E3/linterp(A3,atmos_h,atmos_vela)&gt;D3,D3,E3/linterp(A3,atmos_h,atmos_vela))</f>
        <v>0.3966560007393668</v>
      </c>
      <c r="H3">
        <v>0.01</v>
      </c>
      <c r="I3" cm="1">
        <f t="array" ref="I3">IF(H3&lt;$H$54,IF((1.35*0.5*linterp(0,atmos_h,atmos_rho)*((H3*linterp(0,atmos_h,atmos_aspeed))^2)*37.8)/900&gt;6,6,(1.35*0.5*linterp(0,atmos_h,atmos_rho)*((H3*linterp(0,atmos_h,atmos_aspeed))^2)*37.8)/900),0)</f>
        <v>8.3992275423936478E-3</v>
      </c>
      <c r="J3" cm="1">
        <f t="array" ref="J3">IF(H3&lt;$H$54,IF(-1*(1.35*0.5*linterp(0,atmos_h,atmos_rho)*((H3*linterp(0,atmos_h,atmos_aspeed))^2)*37.8)/900&lt;-1.5,-1.5,-1*(1.35*0.5*linterp(0,atmos_h,atmos_rho)*((H3*linterp(0,atmos_h,atmos_aspeed))^2)*37.8)/900),0)</f>
        <v>-8.3992275423936478E-3</v>
      </c>
      <c r="L3">
        <v>0.01</v>
      </c>
      <c r="M3" cm="1">
        <f t="array" ref="M3">IF(L3&lt;$F$41,IF((1.35*0.5*linterp(10000,atmos_h,atmos_rho)*((L3*linterp(10000,atmos_h,atmos_aspeed))^2)*37.8)/900&gt;6,6,(1.35*0.5*linterp(10000,atmos_h,atmos_rho)*((L3*linterp(10000,atmos_h,atmos_aspeed))^2)*37.8)/900),0)</f>
        <v>5.774537849558406E-3</v>
      </c>
      <c r="N3" cm="1">
        <f t="array" ref="N3">IF(L3&lt;$F$41,IF(-1*(1.35*0.5*linterp(10000,atmos_h,atmos_rho)*((L3*linterp(10000,atmos_h,atmos_aspeed))^2)*37.8)/900&lt;-1.5,-1.5,-1*(1.35*0.5*linterp(10000,atmos_h,atmos_rho)*((L3*linterp(10000,atmos_h,atmos_aspeed))^2)*37.8)/900),0)</f>
        <v>-5.774537849558406E-3</v>
      </c>
    </row>
    <row r="4" spans="1:14" x14ac:dyDescent="0.25">
      <c r="A4">
        <v>750</v>
      </c>
      <c r="B4" s="1" cm="1">
        <f t="array" ref="B4">C4/linterp(A4,atmos_h,atmos_vela)</f>
        <v>0.18669330118976854</v>
      </c>
      <c r="C4" s="2" cm="1">
        <f t="array" ref="C4">SQRT((2/linterp(A4,atmos_h,atmos_rho))*(900/37.8)*(1/1.35))</f>
        <v>123.16623812742006</v>
      </c>
      <c r="D4">
        <v>0.55000000000000004</v>
      </c>
      <c r="E4" cm="1">
        <f t="array" ref="E4">260/linterp(A4,atmos_h,atmos_sqrtdr)</f>
        <v>262.87851979171933</v>
      </c>
      <c r="F4" s="1" cm="1">
        <f t="array" ref="F4">IF(E4/linterp(A4,atmos_h,atmos_vela)&gt;D4,D4,E4/linterp(A4,atmos_h,atmos_vela))</f>
        <v>0.3984668154029623</v>
      </c>
      <c r="H4">
        <v>0.02</v>
      </c>
      <c r="I4" cm="1">
        <f t="array" ref="I4">IF(H4&lt;$H$54,IF((1.35*0.5*linterp(0,atmos_h,atmos_rho)*((H4*linterp(0,atmos_h,atmos_aspeed))^2)*37.8)/900&gt;6,6,(1.35*0.5*linterp(0,atmos_h,atmos_rho)*((H4*linterp(0,atmos_h,atmos_aspeed))^2)*37.8)/900),0)</f>
        <v>3.3596910169574591E-2</v>
      </c>
      <c r="J4" cm="1">
        <f t="array" ref="J4">IF(H4&lt;$H$54,IF(-1*(1.35*0.5*linterp(0,atmos_h,atmos_rho)*((H4*linterp(0,atmos_h,atmos_aspeed))^2)*37.8)/900&lt;-1.5,-1.5,-1*(1.35*0.5*linterp(0,atmos_h,atmos_rho)*((H4*linterp(0,atmos_h,atmos_aspeed))^2)*37.8)/900),0)</f>
        <v>-3.3596910169574591E-2</v>
      </c>
      <c r="L4">
        <v>0.02</v>
      </c>
      <c r="M4" cm="1">
        <f t="array" ref="M4">IF(L4&lt;$F$41,IF((1.35*0.5*linterp(10000,atmos_h,atmos_rho)*((L4*linterp(10000,atmos_h,atmos_aspeed))^2)*37.8)/900&gt;6,6,(1.35*0.5*linterp(10000,atmos_h,atmos_rho)*((L4*linterp(10000,atmos_h,atmos_aspeed))^2)*37.8)/900),0)</f>
        <v>2.3098151398233624E-2</v>
      </c>
      <c r="N4" cm="1">
        <f t="array" ref="N4">IF(L4&lt;$F$41,IF(-1*(1.35*0.5*linterp(10000,atmos_h,atmos_rho)*((L4*linterp(10000,atmos_h,atmos_aspeed))^2)*37.8)/900&lt;-1.5,-1.5,-1*(1.35*0.5*linterp(10000,atmos_h,atmos_rho)*((L4*linterp(10000,atmos_h,atmos_aspeed))^2)*37.8)/900),0)</f>
        <v>-2.3098151398233624E-2</v>
      </c>
    </row>
    <row r="5" spans="1:14" x14ac:dyDescent="0.25">
      <c r="A5">
        <v>1000</v>
      </c>
      <c r="B5" s="1" cm="1">
        <f t="array" ref="B5">C5/linterp(A5,atmos_h,atmos_vela)</f>
        <v>0.18755142528216351</v>
      </c>
      <c r="C5" s="2" cm="1">
        <f t="array" ref="C5">SQRT((2/linterp(A5,atmos_h,atmos_rho))*(900/37.8)*(1/1.35))</f>
        <v>123.62452197473807</v>
      </c>
      <c r="D5">
        <v>0.55000000000000004</v>
      </c>
      <c r="E5" cm="1">
        <f t="array" ref="E5">260/linterp(A5,atmos_h,atmos_sqrtdr)</f>
        <v>263.85224274406329</v>
      </c>
      <c r="F5" s="1" cm="1">
        <f t="array" ref="F5">IF(E5/linterp(A5,atmos_h,atmos_vela)&gt;D5,D5,E5/linterp(A5,atmos_h,atmos_vela))</f>
        <v>0.40029165249801002</v>
      </c>
      <c r="H5">
        <v>0.03</v>
      </c>
      <c r="I5" cm="1">
        <f t="array" ref="I5">IF(H5&lt;$H$54,IF((1.35*0.5*linterp(0,atmos_h,atmos_rho)*((H5*linterp(0,atmos_h,atmos_aspeed))^2)*37.8)/900&gt;6,6,(1.35*0.5*linterp(0,atmos_h,atmos_rho)*((H5*linterp(0,atmos_h,atmos_aspeed))^2)*37.8)/900),0)</f>
        <v>7.5593047881542821E-2</v>
      </c>
      <c r="J5" cm="1">
        <f t="array" ref="J5">IF(H5&lt;$H$54,IF(-1*(1.35*0.5*linterp(0,atmos_h,atmos_rho)*((H5*linterp(0,atmos_h,atmos_aspeed))^2)*37.8)/900&lt;-1.5,-1.5,-1*(1.35*0.5*linterp(0,atmos_h,atmos_rho)*((H5*linterp(0,atmos_h,atmos_aspeed))^2)*37.8)/900),0)</f>
        <v>-7.5593047881542821E-2</v>
      </c>
      <c r="L5">
        <v>0.03</v>
      </c>
      <c r="M5" cm="1">
        <f t="array" ref="M5">IF(L5&lt;$F$41,IF((1.35*0.5*linterp(10000,atmos_h,atmos_rho)*((L5*linterp(10000,atmos_h,atmos_aspeed))^2)*37.8)/900&gt;6,6,(1.35*0.5*linterp(10000,atmos_h,atmos_rho)*((L5*linterp(10000,atmos_h,atmos_aspeed))^2)*37.8)/900),0)</f>
        <v>5.1970840646025633E-2</v>
      </c>
      <c r="N5" cm="1">
        <f t="array" ref="N5">IF(L5&lt;$F$41,IF(-1*(1.35*0.5*linterp(10000,atmos_h,atmos_rho)*((L5*linterp(10000,atmos_h,atmos_aspeed))^2)*37.8)/900&lt;-1.5,-1.5,-1*(1.35*0.5*linterp(10000,atmos_h,atmos_rho)*((L5*linterp(10000,atmos_h,atmos_aspeed))^2)*37.8)/900),0)</f>
        <v>-5.1970840646025633E-2</v>
      </c>
    </row>
    <row r="6" spans="1:14" x14ac:dyDescent="0.25">
      <c r="A6">
        <v>1250</v>
      </c>
      <c r="B6" s="1" cm="1">
        <f t="array" ref="B6">C6/linterp(A6,atmos_h,atmos_vela)</f>
        <v>0.18839186540525427</v>
      </c>
      <c r="C6" s="2" cm="1">
        <f t="array" ref="C6">SQRT((2/linterp(A6,atmos_h,atmos_rho))*(900/37.8)*(1/1.35))</f>
        <v>124.07299863724639</v>
      </c>
      <c r="D6">
        <v>0.55000000000000004</v>
      </c>
      <c r="E6" cm="1">
        <f t="array" ref="E6">260/linterp(A6,atmos_h,atmos_sqrtdr)</f>
        <v>264.81297583581596</v>
      </c>
      <c r="F6" s="1" cm="1">
        <f t="array" ref="F6">IF(E6/linterp(A6,atmos_h,atmos_vela)&gt;D6,D6,E6/linterp(A6,atmos_h,atmos_vela))</f>
        <v>0.40209079371963741</v>
      </c>
      <c r="H6">
        <v>0.04</v>
      </c>
      <c r="I6" cm="1">
        <f t="array" ref="I6">IF(H6&lt;$H$54,IF((1.35*0.5*linterp(0,atmos_h,atmos_rho)*((H6*linterp(0,atmos_h,atmos_aspeed))^2)*37.8)/900&gt;6,6,(1.35*0.5*linterp(0,atmos_h,atmos_rho)*((H6*linterp(0,atmos_h,atmos_aspeed))^2)*37.8)/900),0)</f>
        <v>0.13438764067829836</v>
      </c>
      <c r="J6" cm="1">
        <f t="array" ref="J6">IF(H6&lt;$H$54,IF(-1*(1.35*0.5*linterp(0,atmos_h,atmos_rho)*((H6*linterp(0,atmos_h,atmos_aspeed))^2)*37.8)/900&lt;-1.5,-1.5,-1*(1.35*0.5*linterp(0,atmos_h,atmos_rho)*((H6*linterp(0,atmos_h,atmos_aspeed))^2)*37.8)/900),0)</f>
        <v>-0.13438764067829836</v>
      </c>
      <c r="L6">
        <v>0.04</v>
      </c>
      <c r="M6" cm="1">
        <f t="array" ref="M6">IF(L6&lt;$F$41,IF((1.35*0.5*linterp(10000,atmos_h,atmos_rho)*((L6*linterp(10000,atmos_h,atmos_aspeed))^2)*37.8)/900&gt;6,6,(1.35*0.5*linterp(10000,atmos_h,atmos_rho)*((L6*linterp(10000,atmos_h,atmos_aspeed))^2)*37.8)/900),0)</f>
        <v>9.2392605592934496E-2</v>
      </c>
      <c r="N6" cm="1">
        <f t="array" ref="N6">IF(L6&lt;$F$41,IF(-1*(1.35*0.5*linterp(10000,atmos_h,atmos_rho)*((L6*linterp(10000,atmos_h,atmos_aspeed))^2)*37.8)/900&lt;-1.5,-1.5,-1*(1.35*0.5*linterp(10000,atmos_h,atmos_rho)*((L6*linterp(10000,atmos_h,atmos_aspeed))^2)*37.8)/900),0)</f>
        <v>-9.2392605592934496E-2</v>
      </c>
    </row>
    <row r="7" spans="1:14" x14ac:dyDescent="0.25">
      <c r="A7">
        <v>1500</v>
      </c>
      <c r="B7" s="1" cm="1">
        <f t="array" ref="B7">C7/linterp(A7,atmos_h,atmos_vela)</f>
        <v>0.18924120760777138</v>
      </c>
      <c r="C7" s="2" cm="1">
        <f t="array" ref="C7">SQRT((2/linterp(A7,atmos_h,atmos_rho))*(900/37.8)*(1/1.35))</f>
        <v>124.52639184214181</v>
      </c>
      <c r="D7">
        <v>0.55000000000000004</v>
      </c>
      <c r="E7" cm="1">
        <f t="array" ref="E7">260/linterp(A7,atmos_h,atmos_sqrtdr)</f>
        <v>265.78073089700996</v>
      </c>
      <c r="F7" s="1" cm="1">
        <f t="array" ref="F7">IF(E7/linterp(A7,atmos_h,atmos_vela)&gt;D7,D7,E7/linterp(A7,atmos_h,atmos_vela))</f>
        <v>0.40390366836923847</v>
      </c>
      <c r="H7">
        <v>0.05</v>
      </c>
      <c r="I7" cm="1">
        <f t="array" ref="I7">IF(H7&lt;$H$54,IF((1.35*0.5*linterp(0,atmos_h,atmos_rho)*((H7*linterp(0,atmos_h,atmos_aspeed))^2)*37.8)/900&gt;6,6,(1.35*0.5*linterp(0,atmos_h,atmos_rho)*((H7*linterp(0,atmos_h,atmos_aspeed))^2)*37.8)/900),0)</f>
        <v>0.20998068855984126</v>
      </c>
      <c r="J7" cm="1">
        <f t="array" ref="J7">IF(H7&lt;$H$54,IF(-1*(1.35*0.5*linterp(0,atmos_h,atmos_rho)*((H7*linterp(0,atmos_h,atmos_aspeed))^2)*37.8)/900&lt;-1.5,-1.5,-1*(1.35*0.5*linterp(0,atmos_h,atmos_rho)*((H7*linterp(0,atmos_h,atmos_aspeed))^2)*37.8)/900),0)</f>
        <v>-0.20998068855984126</v>
      </c>
      <c r="L7">
        <v>0.05</v>
      </c>
      <c r="M7" cm="1">
        <f t="array" ref="M7">IF(L7&lt;$F$41,IF((1.35*0.5*linterp(10000,atmos_h,atmos_rho)*((L7*linterp(10000,atmos_h,atmos_aspeed))^2)*37.8)/900&gt;6,6,(1.35*0.5*linterp(10000,atmos_h,atmos_rho)*((L7*linterp(10000,atmos_h,atmos_aspeed))^2)*37.8)/900),0)</f>
        <v>0.14436344623896011</v>
      </c>
      <c r="N7" cm="1">
        <f t="array" ref="N7">IF(L7&lt;$F$41,IF(-1*(1.35*0.5*linterp(10000,atmos_h,atmos_rho)*((L7*linterp(10000,atmos_h,atmos_aspeed))^2)*37.8)/900&lt;-1.5,-1.5,-1*(1.35*0.5*linterp(10000,atmos_h,atmos_rho)*((L7*linterp(10000,atmos_h,atmos_aspeed))^2)*37.8)/900),0)</f>
        <v>-0.14436344623896011</v>
      </c>
    </row>
    <row r="8" spans="1:14" x14ac:dyDescent="0.25">
      <c r="A8">
        <v>1750</v>
      </c>
      <c r="B8" s="1" cm="1">
        <f t="array" ref="B8">C8/linterp(A8,atmos_h,atmos_vela)</f>
        <v>0.19009961227502392</v>
      </c>
      <c r="C8" s="2" cm="1">
        <f t="array" ref="C8">SQRT((2/linterp(A8,atmos_h,atmos_rho))*(900/37.8)*(1/1.35))</f>
        <v>124.98479208245999</v>
      </c>
      <c r="D8">
        <v>0.55000000000000004</v>
      </c>
      <c r="E8" cm="1">
        <f t="array" ref="E8">260/linterp(A8,atmos_h,atmos_sqrtdr)</f>
        <v>266.75558519506501</v>
      </c>
      <c r="F8" s="1" cm="1">
        <f t="array" ref="F8">IF(E8/linterp(A8,atmos_h,atmos_vela)&gt;D8,D8,E8/linterp(A8,atmos_h,atmos_vela))</f>
        <v>0.40573042906150092</v>
      </c>
      <c r="H8">
        <v>0.06</v>
      </c>
      <c r="I8" cm="1">
        <f t="array" ref="I8">IF(H8&lt;$H$54,IF((1.35*0.5*linterp(0,atmos_h,atmos_rho)*((H8*linterp(0,atmos_h,atmos_aspeed))^2)*37.8)/900&gt;6,6,(1.35*0.5*linterp(0,atmos_h,atmos_rho)*((H8*linterp(0,atmos_h,atmos_aspeed))^2)*37.8)/900),0)</f>
        <v>0.30237219152617129</v>
      </c>
      <c r="J8" cm="1">
        <f t="array" ref="J8">IF(H8&lt;$H$54,IF(-1*(1.35*0.5*linterp(0,atmos_h,atmos_rho)*((H8*linterp(0,atmos_h,atmos_aspeed))^2)*37.8)/900&lt;-1.5,-1.5,-1*(1.35*0.5*linterp(0,atmos_h,atmos_rho)*((H8*linterp(0,atmos_h,atmos_aspeed))^2)*37.8)/900),0)</f>
        <v>-0.30237219152617129</v>
      </c>
      <c r="L8">
        <v>0.06</v>
      </c>
      <c r="M8" cm="1">
        <f t="array" ref="M8">IF(L8&lt;$F$41,IF((1.35*0.5*linterp(10000,atmos_h,atmos_rho)*((L8*linterp(10000,atmos_h,atmos_aspeed))^2)*37.8)/900&gt;6,6,(1.35*0.5*linterp(10000,atmos_h,atmos_rho)*((L8*linterp(10000,atmos_h,atmos_aspeed))^2)*37.8)/900),0)</f>
        <v>0.20788336258410253</v>
      </c>
      <c r="N8" cm="1">
        <f t="array" ref="N8">IF(L8&lt;$F$41,IF(-1*(1.35*0.5*linterp(10000,atmos_h,atmos_rho)*((L8*linterp(10000,atmos_h,atmos_aspeed))^2)*37.8)/900&lt;-1.5,-1.5,-1*(1.35*0.5*linterp(10000,atmos_h,atmos_rho)*((L8*linterp(10000,atmos_h,atmos_aspeed))^2)*37.8)/900),0)</f>
        <v>-0.20788336258410253</v>
      </c>
    </row>
    <row r="9" spans="1:14" x14ac:dyDescent="0.25">
      <c r="A9">
        <v>2000</v>
      </c>
      <c r="B9" s="1" cm="1">
        <f t="array" ref="B9">C9/linterp(A9,atmos_h,atmos_vela)</f>
        <v>0.19096724391526404</v>
      </c>
      <c r="C9" s="2" cm="1">
        <f t="array" ref="C9">SQRT((2/linterp(A9,atmos_h,atmos_rho))*(900/37.8)*(1/1.35))</f>
        <v>125.4482922003761</v>
      </c>
      <c r="D9">
        <v>0.55000000000000004</v>
      </c>
      <c r="E9" cm="1">
        <f t="array" ref="E9">260/linterp(A9,atmos_h,atmos_sqrtdr)</f>
        <v>267.73761713520753</v>
      </c>
      <c r="F9" s="1" cm="1">
        <f t="array" ref="F9">IF(E9/linterp(A9,atmos_h,atmos_vela)&gt;D9,D9,E9/linterp(A9,atmos_h,atmos_vela))</f>
        <v>0.4075712306635727</v>
      </c>
      <c r="H9">
        <v>7.0000000000000007E-2</v>
      </c>
      <c r="I9" cm="1">
        <f t="array" ref="I9">IF(H9&lt;$H$54,IF((1.35*0.5*linterp(0,atmos_h,atmos_rho)*((H9*linterp(0,atmos_h,atmos_aspeed))^2)*37.8)/900&gt;6,6,(1.35*0.5*linterp(0,atmos_h,atmos_rho)*((H9*linterp(0,atmos_h,atmos_aspeed))^2)*37.8)/900),0)</f>
        <v>0.41156214957728882</v>
      </c>
      <c r="J9" cm="1">
        <f t="array" ref="J9">IF(H9&lt;$H$54,IF(-1*(1.35*0.5*linterp(0,atmos_h,atmos_rho)*((H9*linterp(0,atmos_h,atmos_aspeed))^2)*37.8)/900&lt;-1.5,-1.5,-1*(1.35*0.5*linterp(0,atmos_h,atmos_rho)*((H9*linterp(0,atmos_h,atmos_aspeed))^2)*37.8)/900),0)</f>
        <v>-0.41156214957728882</v>
      </c>
      <c r="L9">
        <v>7.0000000000000007E-2</v>
      </c>
      <c r="M9" cm="1">
        <f t="array" ref="M9">IF(L9&lt;$F$41,IF((1.35*0.5*linterp(10000,atmos_h,atmos_rho)*((L9*linterp(10000,atmos_h,atmos_aspeed))^2)*37.8)/900&gt;6,6,(1.35*0.5*linterp(10000,atmos_h,atmos_rho)*((L9*linterp(10000,atmos_h,atmos_aspeed))^2)*37.8)/900),0)</f>
        <v>0.28295235462836182</v>
      </c>
      <c r="N9" cm="1">
        <f t="array" ref="N9">IF(L9&lt;$F$41,IF(-1*(1.35*0.5*linterp(10000,atmos_h,atmos_rho)*((L9*linterp(10000,atmos_h,atmos_aspeed))^2)*37.8)/900&lt;-1.5,-1.5,-1*(1.35*0.5*linterp(10000,atmos_h,atmos_rho)*((L9*linterp(10000,atmos_h,atmos_aspeed))^2)*37.8)/900),0)</f>
        <v>-0.28295235462836182</v>
      </c>
    </row>
    <row r="10" spans="1:14" x14ac:dyDescent="0.25">
      <c r="A10">
        <v>2250</v>
      </c>
      <c r="B10" s="1" cm="1">
        <f t="array" ref="B10">C10/linterp(A10,atmos_h,atmos_vela)</f>
        <v>0.19184173362887033</v>
      </c>
      <c r="C10" s="2" cm="1">
        <f t="array" ref="C10">SQRT((2/linterp(A10,atmos_h,atmos_rho))*(900/37.8)*(1/1.35))</f>
        <v>125.91196463697054</v>
      </c>
      <c r="D10">
        <v>0.55000000000000004</v>
      </c>
      <c r="E10" cm="1">
        <f t="array" ref="E10">260/linterp(A10,atmos_h,atmos_sqrtdr)</f>
        <v>268.73385012919897</v>
      </c>
      <c r="F10" s="1" cm="1">
        <f t="array" ref="F10">IF(E10/linterp(A10,atmos_h,atmos_vela)&gt;D10,D10,E10/linterp(A10,atmos_h,atmos_vela))</f>
        <v>0.4094477267683666</v>
      </c>
      <c r="H10">
        <v>0.08</v>
      </c>
      <c r="I10" cm="1">
        <f t="array" ref="I10">IF(H10&lt;$H$54,IF((1.35*0.5*linterp(0,atmos_h,atmos_rho)*((H10*linterp(0,atmos_h,atmos_aspeed))^2)*37.8)/900&gt;6,6,(1.35*0.5*linterp(0,atmos_h,atmos_rho)*((H10*linterp(0,atmos_h,atmos_aspeed))^2)*37.8)/900),0)</f>
        <v>0.53755056271319346</v>
      </c>
      <c r="J10" cm="1">
        <f t="array" ref="J10">IF(H10&lt;$H$54,IF(-1*(1.35*0.5*linterp(0,atmos_h,atmos_rho)*((H10*linterp(0,atmos_h,atmos_aspeed))^2)*37.8)/900&lt;-1.5,-1.5,-1*(1.35*0.5*linterp(0,atmos_h,atmos_rho)*((H10*linterp(0,atmos_h,atmos_aspeed))^2)*37.8)/900),0)</f>
        <v>-0.53755056271319346</v>
      </c>
      <c r="L10">
        <v>0.08</v>
      </c>
      <c r="M10" cm="1">
        <f t="array" ref="M10">IF(L10&lt;$F$41,IF((1.35*0.5*linterp(10000,atmos_h,atmos_rho)*((L10*linterp(10000,atmos_h,atmos_aspeed))^2)*37.8)/900&gt;6,6,(1.35*0.5*linterp(10000,atmos_h,atmos_rho)*((L10*linterp(10000,atmos_h,atmos_aspeed))^2)*37.8)/900),0)</f>
        <v>0.36957042237173798</v>
      </c>
      <c r="N10" cm="1">
        <f t="array" ref="N10">IF(L10&lt;$F$41,IF(-1*(1.35*0.5*linterp(10000,atmos_h,atmos_rho)*((L10*linterp(10000,atmos_h,atmos_aspeed))^2)*37.8)/900&lt;-1.5,-1.5,-1*(1.35*0.5*linterp(10000,atmos_h,atmos_rho)*((L10*linterp(10000,atmos_h,atmos_aspeed))^2)*37.8)/900),0)</f>
        <v>-0.36957042237173798</v>
      </c>
    </row>
    <row r="11" spans="1:14" x14ac:dyDescent="0.25">
      <c r="A11">
        <v>2500</v>
      </c>
      <c r="B11" s="1" cm="1">
        <f t="array" ref="B11">C11/linterp(A11,atmos_h,atmos_vela)</f>
        <v>0.19272566240023181</v>
      </c>
      <c r="C11" s="2" cm="1">
        <f t="array" ref="C11">SQRT((2/linterp(A11,atmos_h,atmos_rho))*(900/37.8)*(1/1.35))</f>
        <v>126.38081674726401</v>
      </c>
      <c r="D11">
        <v>0.55000000000000004</v>
      </c>
      <c r="E11" cm="1">
        <f t="array" ref="E11">260/linterp(A11,atmos_h,atmos_sqrtdr)</f>
        <v>269.73752463948546</v>
      </c>
      <c r="F11" s="1" cm="1">
        <f t="array" ref="F11">IF(E11/linterp(A11,atmos_h,atmos_vela)&gt;D11,D11,E11/linterp(A11,atmos_h,atmos_vela))</f>
        <v>0.41133887601236052</v>
      </c>
      <c r="H11">
        <v>0.09</v>
      </c>
      <c r="I11" cm="1">
        <f t="array" ref="I11">IF(H11&lt;$H$54,IF((1.35*0.5*linterp(0,atmos_h,atmos_rho)*((H11*linterp(0,atmos_h,atmos_aspeed))^2)*37.8)/900&gt;6,6,(1.35*0.5*linterp(0,atmos_h,atmos_rho)*((H11*linterp(0,atmos_h,atmos_aspeed))^2)*37.8)/900),0)</f>
        <v>0.68033743093388532</v>
      </c>
      <c r="J11" cm="1">
        <f t="array" ref="J11">IF(H11&lt;$H$54,IF(-1*(1.35*0.5*linterp(0,atmos_h,atmos_rho)*((H11*linterp(0,atmos_h,atmos_aspeed))^2)*37.8)/900&lt;-1.5,-1.5,-1*(1.35*0.5*linterp(0,atmos_h,atmos_rho)*((H11*linterp(0,atmos_h,atmos_aspeed))^2)*37.8)/900),0)</f>
        <v>-0.68033743093388532</v>
      </c>
      <c r="L11">
        <v>0.09</v>
      </c>
      <c r="M11" cm="1">
        <f t="array" ref="M11">IF(L11&lt;$F$41,IF((1.35*0.5*linterp(10000,atmos_h,atmos_rho)*((L11*linterp(10000,atmos_h,atmos_aspeed))^2)*37.8)/900&gt;6,6,(1.35*0.5*linterp(10000,atmos_h,atmos_rho)*((L11*linterp(10000,atmos_h,atmos_aspeed))^2)*37.8)/900),0)</f>
        <v>0.46773756581423076</v>
      </c>
      <c r="N11" cm="1">
        <f t="array" ref="N11">IF(L11&lt;$F$41,IF(-1*(1.35*0.5*linterp(10000,atmos_h,atmos_rho)*((L11*linterp(10000,atmos_h,atmos_aspeed))^2)*37.8)/900&lt;-1.5,-1.5,-1*(1.35*0.5*linterp(10000,atmos_h,atmos_rho)*((L11*linterp(10000,atmos_h,atmos_aspeed))^2)*37.8)/900),0)</f>
        <v>-0.46773756581423076</v>
      </c>
    </row>
    <row r="12" spans="1:14" x14ac:dyDescent="0.25">
      <c r="A12">
        <v>2750</v>
      </c>
      <c r="B12" s="1" cm="1">
        <f t="array" ref="B12">C12/linterp(A12,atmos_h,atmos_vela)</f>
        <v>0.1936192034857008</v>
      </c>
      <c r="C12" s="2" cm="1">
        <f t="array" ref="C12">SQRT((2/linterp(A12,atmos_h,atmos_rho))*(900/37.8)*(1/1.35))</f>
        <v>126.85494569175273</v>
      </c>
      <c r="D12">
        <v>0.55000000000000004</v>
      </c>
      <c r="E12" cm="1">
        <f t="array" ref="E12">260/linterp(A12,atmos_h,atmos_sqrtdr)</f>
        <v>270.74872435697182</v>
      </c>
      <c r="F12" s="1" cm="1">
        <f t="array" ref="F12">IF(E12/linterp(A12,atmos_h,atmos_vela)&gt;D12,D12,E12/linterp(A12,atmos_h,atmos_vela))</f>
        <v>0.41324484488092433</v>
      </c>
      <c r="H12">
        <v>0.1</v>
      </c>
      <c r="I12" cm="1">
        <f t="array" ref="I12">IF(H12&lt;$H$54,IF((1.35*0.5*linterp(0,atmos_h,atmos_rho)*((H12*linterp(0,atmos_h,atmos_aspeed))^2)*37.8)/900&gt;6,6,(1.35*0.5*linterp(0,atmos_h,atmos_rho)*((H12*linterp(0,atmos_h,atmos_aspeed))^2)*37.8)/900),0)</f>
        <v>0.83992275423936502</v>
      </c>
      <c r="J12" cm="1">
        <f t="array" ref="J12">IF(H12&lt;$H$54,IF(-1*(1.35*0.5*linterp(0,atmos_h,atmos_rho)*((H12*linterp(0,atmos_h,atmos_aspeed))^2)*37.8)/900&lt;-1.5,-1.5,-1*(1.35*0.5*linterp(0,atmos_h,atmos_rho)*((H12*linterp(0,atmos_h,atmos_aspeed))^2)*37.8)/900),0)</f>
        <v>-0.83992275423936502</v>
      </c>
      <c r="L12">
        <v>0.1</v>
      </c>
      <c r="M12" cm="1">
        <f t="array" ref="M12">IF(L12&lt;$F$41,IF((1.35*0.5*linterp(10000,atmos_h,atmos_rho)*((L12*linterp(10000,atmos_h,atmos_aspeed))^2)*37.8)/900&gt;6,6,(1.35*0.5*linterp(10000,atmos_h,atmos_rho)*((L12*linterp(10000,atmos_h,atmos_aspeed))^2)*37.8)/900),0)</f>
        <v>0.57745378495584043</v>
      </c>
      <c r="N12" cm="1">
        <f t="array" ref="N12">IF(L12&lt;$F$41,IF(-1*(1.35*0.5*linterp(10000,atmos_h,atmos_rho)*((L12*linterp(10000,atmos_h,atmos_aspeed))^2)*37.8)/900&lt;-1.5,-1.5,-1*(1.35*0.5*linterp(10000,atmos_h,atmos_rho)*((L12*linterp(10000,atmos_h,atmos_aspeed))^2)*37.8)/900),0)</f>
        <v>-0.57745378495584043</v>
      </c>
    </row>
    <row r="13" spans="1:14" x14ac:dyDescent="0.25">
      <c r="A13">
        <v>3000</v>
      </c>
      <c r="B13" s="1" cm="1">
        <f t="array" ref="B13">C13/linterp(A13,atmos_h,atmos_vela)</f>
        <v>0.19452253468039196</v>
      </c>
      <c r="C13" s="2" cm="1">
        <f t="array" ref="C13">SQRT((2/linterp(A13,atmos_h,atmos_rho))*(900/37.8)*(1/1.35))</f>
        <v>127.33445120178459</v>
      </c>
      <c r="D13">
        <v>0.55000000000000004</v>
      </c>
      <c r="E13" cm="1">
        <f t="array" ref="E13">260/linterp(A13,atmos_h,atmos_sqrtdr)</f>
        <v>271.76753423225671</v>
      </c>
      <c r="F13" s="1" cm="1">
        <f t="array" ref="F13">IF(E13/linterp(A13,atmos_h,atmos_vela)&gt;D13,D13,E13/linterp(A13,atmos_h,atmos_vela))</f>
        <v>0.41516580237130568</v>
      </c>
      <c r="H13">
        <v>0.11</v>
      </c>
      <c r="I13" cm="1">
        <f t="array" ref="I13">IF(H13&lt;$H$54,IF((1.35*0.5*linterp(0,atmos_h,atmos_rho)*((H13*linterp(0,atmos_h,atmos_aspeed))^2)*37.8)/900&gt;6,6,(1.35*0.5*linterp(0,atmos_h,atmos_rho)*((H13*linterp(0,atmos_h,atmos_aspeed))^2)*37.8)/900),0)</f>
        <v>1.0163065326296314</v>
      </c>
      <c r="J13" cm="1">
        <f t="array" ref="J13">IF(H13&lt;$H$54,IF(-1*(1.35*0.5*linterp(0,atmos_h,atmos_rho)*((H13*linterp(0,atmos_h,atmos_aspeed))^2)*37.8)/900&lt;-1.5,-1.5,-1*(1.35*0.5*linterp(0,atmos_h,atmos_rho)*((H13*linterp(0,atmos_h,atmos_aspeed))^2)*37.8)/900),0)</f>
        <v>-1.0163065326296314</v>
      </c>
      <c r="L13">
        <v>0.11</v>
      </c>
      <c r="M13" cm="1">
        <f t="array" ref="M13">IF(L13&lt;$F$41,IF((1.35*0.5*linterp(10000,atmos_h,atmos_rho)*((L13*linterp(10000,atmos_h,atmos_aspeed))^2)*37.8)/900&gt;6,6,(1.35*0.5*linterp(10000,atmos_h,atmos_rho)*((L13*linterp(10000,atmos_h,atmos_aspeed))^2)*37.8)/900),0)</f>
        <v>0.69871907979656689</v>
      </c>
      <c r="N13" cm="1">
        <f t="array" ref="N13">IF(L13&lt;$F$41,IF(-1*(1.35*0.5*linterp(10000,atmos_h,atmos_rho)*((L13*linterp(10000,atmos_h,atmos_aspeed))^2)*37.8)/900&lt;-1.5,-1.5,-1*(1.35*0.5*linterp(10000,atmos_h,atmos_rho)*((L13*linterp(10000,atmos_h,atmos_aspeed))^2)*37.8)/900),0)</f>
        <v>-0.69871907979656689</v>
      </c>
    </row>
    <row r="14" spans="1:14" x14ac:dyDescent="0.25">
      <c r="A14">
        <v>3250</v>
      </c>
      <c r="B14" s="1" cm="1">
        <f t="array" ref="B14">C14/linterp(A14,atmos_h,atmos_vela)</f>
        <v>0.19543405124909524</v>
      </c>
      <c r="C14" s="2" cm="1">
        <f t="array" ref="C14">SQRT((2/linterp(A14,atmos_h,atmos_rho))*(900/37.8)*(1/1.35))</f>
        <v>127.81728961280515</v>
      </c>
      <c r="D14">
        <v>0.55000000000000004</v>
      </c>
      <c r="E14" cm="1">
        <f t="array" ref="E14">260/linterp(A14,atmos_h,atmos_sqrtdr)</f>
        <v>272.80119612832146</v>
      </c>
      <c r="F14" s="1" cm="1">
        <f t="array" ref="F14">IF(E14/linterp(A14,atmos_h,atmos_vela)&gt;D14,D14,E14/linterp(A14,atmos_h,atmos_vela))</f>
        <v>0.4171160498431945</v>
      </c>
      <c r="H14">
        <v>0.12</v>
      </c>
      <c r="I14" cm="1">
        <f t="array" ref="I14">IF(H14&lt;$H$54,IF((1.35*0.5*linterp(0,atmos_h,atmos_rho)*((H14*linterp(0,atmos_h,atmos_aspeed))^2)*37.8)/900&gt;6,6,(1.35*0.5*linterp(0,atmos_h,atmos_rho)*((H14*linterp(0,atmos_h,atmos_aspeed))^2)*37.8)/900),0)</f>
        <v>1.2094887661046851</v>
      </c>
      <c r="J14" cm="1">
        <f t="array" ref="J14">IF(H14&lt;$H$54,IF(-1*(1.35*0.5*linterp(0,atmos_h,atmos_rho)*((H14*linterp(0,atmos_h,atmos_aspeed))^2)*37.8)/900&lt;-1.5,-1.5,-1*(1.35*0.5*linterp(0,atmos_h,atmos_rho)*((H14*linterp(0,atmos_h,atmos_aspeed))^2)*37.8)/900),0)</f>
        <v>-1.2094887661046851</v>
      </c>
      <c r="L14">
        <v>0.12</v>
      </c>
      <c r="M14" cm="1">
        <f t="array" ref="M14">IF(L14&lt;$F$41,IF((1.35*0.5*linterp(10000,atmos_h,atmos_rho)*((L14*linterp(10000,atmos_h,atmos_aspeed))^2)*37.8)/900&gt;6,6,(1.35*0.5*linterp(10000,atmos_h,atmos_rho)*((L14*linterp(10000,atmos_h,atmos_aspeed))^2)*37.8)/900),0)</f>
        <v>0.83153345033641013</v>
      </c>
      <c r="N14" cm="1">
        <f t="array" ref="N14">IF(L14&lt;$F$41,IF(-1*(1.35*0.5*linterp(10000,atmos_h,atmos_rho)*((L14*linterp(10000,atmos_h,atmos_aspeed))^2)*37.8)/900&lt;-1.5,-1.5,-1*(1.35*0.5*linterp(10000,atmos_h,atmos_rho)*((L14*linterp(10000,atmos_h,atmos_aspeed))^2)*37.8)/900),0)</f>
        <v>-0.83153345033641013</v>
      </c>
    </row>
    <row r="15" spans="1:14" x14ac:dyDescent="0.25">
      <c r="A15">
        <v>3500</v>
      </c>
      <c r="B15" s="1" cm="1">
        <f t="array" ref="B15">C15/linterp(A15,atmos_h,atmos_vela)</f>
        <v>0.19635566295476761</v>
      </c>
      <c r="C15" s="2" cm="1">
        <f t="array" ref="C15">SQRT((2/linterp(A15,atmos_h,atmos_rho))*(900/37.8)*(1/1.35))</f>
        <v>128.30566262284856</v>
      </c>
      <c r="D15">
        <v>0.55000000000000004</v>
      </c>
      <c r="E15" cm="1">
        <f t="array" ref="E15">260/linterp(A15,atmos_h,atmos_sqrtdr)</f>
        <v>273.84275106640689</v>
      </c>
      <c r="F15" s="1" cm="1">
        <f t="array" ref="F15">IF(E15/linterp(A15,atmos_h,atmos_vela)&gt;D15,D15,E15/linterp(A15,atmos_h,atmos_vela))</f>
        <v>0.4190818536907373</v>
      </c>
      <c r="H15">
        <v>0.13</v>
      </c>
      <c r="I15" cm="1">
        <f t="array" ref="I15">IF(H15&lt;$H$54,IF((1.35*0.5*linterp(0,atmos_h,atmos_rho)*((H15*linterp(0,atmos_h,atmos_aspeed))^2)*37.8)/900&gt;6,6,(1.35*0.5*linterp(0,atmos_h,atmos_rho)*((H15*linterp(0,atmos_h,atmos_aspeed))^2)*37.8)/900),0)</f>
        <v>1.4194694546645266</v>
      </c>
      <c r="J15" cm="1">
        <f t="array" ref="J15">IF(H15&lt;$H$54,IF(-1*(1.35*0.5*linterp(0,atmos_h,atmos_rho)*((H15*linterp(0,atmos_h,atmos_aspeed))^2)*37.8)/900&lt;-1.5,-1.5,-1*(1.35*0.5*linterp(0,atmos_h,atmos_rho)*((H15*linterp(0,atmos_h,atmos_aspeed))^2)*37.8)/900),0)</f>
        <v>-1.4194694546645266</v>
      </c>
      <c r="L15">
        <v>0.13</v>
      </c>
      <c r="M15" cm="1">
        <f t="array" ref="M15">IF(L15&lt;$F$41,IF((1.35*0.5*linterp(10000,atmos_h,atmos_rho)*((L15*linterp(10000,atmos_h,atmos_aspeed))^2)*37.8)/900&gt;6,6,(1.35*0.5*linterp(10000,atmos_h,atmos_rho)*((L15*linterp(10000,atmos_h,atmos_aspeed))^2)*37.8)/900),0)</f>
        <v>0.97589689657537015</v>
      </c>
      <c r="N15" cm="1">
        <f t="array" ref="N15">IF(L15&lt;$F$41,IF(-1*(1.35*0.5*linterp(10000,atmos_h,atmos_rho)*((L15*linterp(10000,atmos_h,atmos_aspeed))^2)*37.8)/900&lt;-1.5,-1.5,-1*(1.35*0.5*linterp(10000,atmos_h,atmos_rho)*((L15*linterp(10000,atmos_h,atmos_aspeed))^2)*37.8)/900),0)</f>
        <v>-0.97589689657537015</v>
      </c>
    </row>
    <row r="16" spans="1:14" x14ac:dyDescent="0.25">
      <c r="A16">
        <v>3750</v>
      </c>
      <c r="B16" s="1" cm="1">
        <f t="array" ref="B16">C16/linterp(A16,atmos_h,atmos_vela)</f>
        <v>0.19728756002546044</v>
      </c>
      <c r="C16" s="2" cm="1">
        <f t="array" ref="C16">SQRT((2/linterp(A16,atmos_h,atmos_rho))*(900/37.8)*(1/1.35))</f>
        <v>128.7996767815219</v>
      </c>
      <c r="D16">
        <v>0.55000000000000004</v>
      </c>
      <c r="E16" cm="1">
        <f t="array" ref="E16">260/linterp(A16,atmos_h,atmos_sqrtdr)</f>
        <v>274.89228979991015</v>
      </c>
      <c r="F16" s="1" cm="1">
        <f t="array" ref="F16">IF(E16/linterp(A16,atmos_h,atmos_vela)&gt;D16,D16,E16/linterp(A16,atmos_h,atmos_vela))</f>
        <v>0.42106339456448455</v>
      </c>
      <c r="H16">
        <v>0.14000000000000001</v>
      </c>
      <c r="I16" cm="1">
        <f t="array" ref="I16">IF(H16&lt;$H$54,IF((1.35*0.5*linterp(0,atmos_h,atmos_rho)*((H16*linterp(0,atmos_h,atmos_aspeed))^2)*37.8)/900&gt;6,6,(1.35*0.5*linterp(0,atmos_h,atmos_rho)*((H16*linterp(0,atmos_h,atmos_aspeed))^2)*37.8)/900),0)</f>
        <v>1.6462485983091553</v>
      </c>
      <c r="J16" cm="1">
        <f t="array" ref="J16">IF(H16&lt;$H$54,IF(-1*(1.35*0.5*linterp(0,atmos_h,atmos_rho)*((H16*linterp(0,atmos_h,atmos_aspeed))^2)*37.8)/900&lt;-1.5,-1.5,-1*(1.35*0.5*linterp(0,atmos_h,atmos_rho)*((H16*linterp(0,atmos_h,atmos_aspeed))^2)*37.8)/900),0)</f>
        <v>-1.5</v>
      </c>
      <c r="L16">
        <v>0.14000000000000001</v>
      </c>
      <c r="M16" cm="1">
        <f t="array" ref="M16">IF(L16&lt;$F$41,IF((1.35*0.5*linterp(10000,atmos_h,atmos_rho)*((L16*linterp(10000,atmos_h,atmos_aspeed))^2)*37.8)/900&gt;6,6,(1.35*0.5*linterp(10000,atmos_h,atmos_rho)*((L16*linterp(10000,atmos_h,atmos_aspeed))^2)*37.8)/900),0)</f>
        <v>1.1318094185134473</v>
      </c>
      <c r="N16" cm="1">
        <f t="array" ref="N16">IF(L16&lt;$F$41,IF(-1*(1.35*0.5*linterp(10000,atmos_h,atmos_rho)*((L16*linterp(10000,atmos_h,atmos_aspeed))^2)*37.8)/900&lt;-1.5,-1.5,-1*(1.35*0.5*linterp(10000,atmos_h,atmos_rho)*((L16*linterp(10000,atmos_h,atmos_aspeed))^2)*37.8)/900),0)</f>
        <v>-1.1318094185134473</v>
      </c>
    </row>
    <row r="17" spans="1:14" x14ac:dyDescent="0.25">
      <c r="A17">
        <v>4000</v>
      </c>
      <c r="B17" s="1" cm="1">
        <f t="array" ref="B17">C17/linterp(A17,atmos_h,atmos_vela)</f>
        <v>0.1982299378056146</v>
      </c>
      <c r="C17" s="2" cm="1">
        <f t="array" ref="C17">SQRT((2/linterp(A17,atmos_h,atmos_rho))*(900/37.8)*(1/1.35))</f>
        <v>129.29944153246822</v>
      </c>
      <c r="D17">
        <v>0.55000000000000004</v>
      </c>
      <c r="E17" cm="1">
        <f t="array" ref="E17">260/linterp(A17,atmos_h,atmos_sqrtdr)</f>
        <v>275.9499044788792</v>
      </c>
      <c r="F17" s="1" cm="1">
        <f t="array" ref="F17">IF(E17/linterp(A17,atmos_h,atmos_vela)&gt;D17,D17,E17/linterp(A17,atmos_h,atmos_vela))</f>
        <v>0.42306085590151199</v>
      </c>
      <c r="H17">
        <v>0.15</v>
      </c>
      <c r="I17" cm="1">
        <f t="array" ref="I17">IF(H17&lt;$H$54,IF((1.35*0.5*linterp(0,atmos_h,atmos_rho)*((H17*linterp(0,atmos_h,atmos_aspeed))^2)*37.8)/900&gt;6,6,(1.35*0.5*linterp(0,atmos_h,atmos_rho)*((H17*linterp(0,atmos_h,atmos_aspeed))^2)*37.8)/900),0)</f>
        <v>1.8898261970385706</v>
      </c>
      <c r="J17" cm="1">
        <f t="array" ref="J17">IF(H17&lt;$H$54,IF(-1*(1.35*0.5*linterp(0,atmos_h,atmos_rho)*((H17*linterp(0,atmos_h,atmos_aspeed))^2)*37.8)/900&lt;-1.5,-1.5,-1*(1.35*0.5*linterp(0,atmos_h,atmos_rho)*((H17*linterp(0,atmos_h,atmos_aspeed))^2)*37.8)/900),0)</f>
        <v>-1.5</v>
      </c>
      <c r="L17">
        <v>0.15</v>
      </c>
      <c r="M17" cm="1">
        <f t="array" ref="M17">IF(L17&lt;$F$41,IF((1.35*0.5*linterp(10000,atmos_h,atmos_rho)*((L17*linterp(10000,atmos_h,atmos_aspeed))^2)*37.8)/900&gt;6,6,(1.35*0.5*linterp(10000,atmos_h,atmos_rho)*((L17*linterp(10000,atmos_h,atmos_aspeed))^2)*37.8)/900),0)</f>
        <v>1.2992710161506411</v>
      </c>
      <c r="N17" cm="1">
        <f t="array" ref="N17">IF(L17&lt;$F$41,IF(-1*(1.35*0.5*linterp(10000,atmos_h,atmos_rho)*((L17*linterp(10000,atmos_h,atmos_aspeed))^2)*37.8)/900&lt;-1.5,-1.5,-1*(1.35*0.5*linterp(10000,atmos_h,atmos_rho)*((L17*linterp(10000,atmos_h,atmos_aspeed))^2)*37.8)/900),0)</f>
        <v>-1.2992710161506411</v>
      </c>
    </row>
    <row r="18" spans="1:14" x14ac:dyDescent="0.25">
      <c r="A18">
        <v>4250</v>
      </c>
      <c r="B18" s="1" cm="1">
        <f t="array" ref="B18">C18/linterp(A18,atmos_h,atmos_vela)</f>
        <v>0.19912355779047064</v>
      </c>
      <c r="C18" s="2" cm="1">
        <f t="array" ref="C18">SQRT((2/linterp(A18,atmos_h,atmos_rho))*(900/37.8)*(1/1.35))</f>
        <v>129.76981822983865</v>
      </c>
      <c r="D18">
        <v>0.55000000000000004</v>
      </c>
      <c r="E18" cm="1">
        <f t="array" ref="E18">260/linterp(A18,atmos_h,atmos_sqrtdr)</f>
        <v>276.96404793608525</v>
      </c>
      <c r="F18" s="1" cm="1">
        <f t="array" ref="F18">IF(E18/linterp(A18,atmos_h,atmos_vela)&gt;D18,D18,E18/linterp(A18,atmos_h,atmos_vela))</f>
        <v>0.42498377016608019</v>
      </c>
      <c r="H18">
        <v>0.16</v>
      </c>
      <c r="I18" cm="1">
        <f t="array" ref="I18">IF(H18&lt;$H$54,IF((1.35*0.5*linterp(0,atmos_h,atmos_rho)*((H18*linterp(0,atmos_h,atmos_aspeed))^2)*37.8)/900&gt;6,6,(1.35*0.5*linterp(0,atmos_h,atmos_rho)*((H18*linterp(0,atmos_h,atmos_aspeed))^2)*37.8)/900),0)</f>
        <v>2.1502022508527738</v>
      </c>
      <c r="J18" cm="1">
        <f t="array" ref="J18">IF(H18&lt;$H$54,IF(-1*(1.35*0.5*linterp(0,atmos_h,atmos_rho)*((H18*linterp(0,atmos_h,atmos_aspeed))^2)*37.8)/900&lt;-1.5,-1.5,-1*(1.35*0.5*linterp(0,atmos_h,atmos_rho)*((H18*linterp(0,atmos_h,atmos_aspeed))^2)*37.8)/900),0)</f>
        <v>-1.5</v>
      </c>
      <c r="L18">
        <v>0.16</v>
      </c>
      <c r="M18" cm="1">
        <f t="array" ref="M18">IF(L18&lt;$F$41,IF((1.35*0.5*linterp(10000,atmos_h,atmos_rho)*((L18*linterp(10000,atmos_h,atmos_aspeed))^2)*37.8)/900&gt;6,6,(1.35*0.5*linterp(10000,atmos_h,atmos_rho)*((L18*linterp(10000,atmos_h,atmos_aspeed))^2)*37.8)/900),0)</f>
        <v>1.4782816894869519</v>
      </c>
      <c r="N18" cm="1">
        <f t="array" ref="N18">IF(L18&lt;$F$41,IF(-1*(1.35*0.5*linterp(10000,atmos_h,atmos_rho)*((L18*linterp(10000,atmos_h,atmos_aspeed))^2)*37.8)/900&lt;-1.5,-1.5,-1*(1.35*0.5*linterp(10000,atmos_h,atmos_rho)*((L18*linterp(10000,atmos_h,atmos_aspeed))^2)*37.8)/900),0)</f>
        <v>-1.4782816894869519</v>
      </c>
    </row>
    <row r="19" spans="1:14" x14ac:dyDescent="0.25">
      <c r="A19">
        <v>4500</v>
      </c>
      <c r="B19" s="1" cm="1">
        <f t="array" ref="B19">C19/linterp(A19,atmos_h,atmos_vela)</f>
        <v>0.20002667029225196</v>
      </c>
      <c r="C19" s="2" cm="1">
        <f t="array" ref="C19">SQRT((2/linterp(A19,atmos_h,atmos_rho))*(900/37.8)*(1/1.35))</f>
        <v>130.24536609409694</v>
      </c>
      <c r="D19">
        <v>0.55000000000000004</v>
      </c>
      <c r="E19" cm="1">
        <f t="array" ref="E19">260/linterp(A19,atmos_h,atmos_sqrtdr)</f>
        <v>277.98567304608144</v>
      </c>
      <c r="F19" s="1" cm="1">
        <f t="array" ref="F19">IF(E19/linterp(A19,atmos_h,atmos_vela)&gt;D19,D19,E19/linterp(A19,atmos_h,atmos_vela))</f>
        <v>0.42692151157367303</v>
      </c>
      <c r="H19">
        <v>0.17</v>
      </c>
      <c r="I19" cm="1">
        <f t="array" ref="I19">IF(H19&lt;$H$54,IF((1.35*0.5*linterp(0,atmos_h,atmos_rho)*((H19*linterp(0,atmos_h,atmos_aspeed))^2)*37.8)/900&gt;6,6,(1.35*0.5*linterp(0,atmos_h,atmos_rho)*((H19*linterp(0,atmos_h,atmos_aspeed))^2)*37.8)/900),0)</f>
        <v>2.4273767597517639</v>
      </c>
      <c r="J19" cm="1">
        <f t="array" ref="J19">IF(H19&lt;$H$54,IF(-1*(1.35*0.5*linterp(0,atmos_h,atmos_rho)*((H19*linterp(0,atmos_h,atmos_aspeed))^2)*37.8)/900&lt;-1.5,-1.5,-1*(1.35*0.5*linterp(0,atmos_h,atmos_rho)*((H19*linterp(0,atmos_h,atmos_aspeed))^2)*37.8)/900),0)</f>
        <v>-1.5</v>
      </c>
      <c r="L19">
        <v>0.17</v>
      </c>
      <c r="M19" cm="1">
        <f t="array" ref="M19">IF(L19&lt;$F$41,IF((1.35*0.5*linterp(10000,atmos_h,atmos_rho)*((L19*linterp(10000,atmos_h,atmos_aspeed))^2)*37.8)/900&gt;6,6,(1.35*0.5*linterp(10000,atmos_h,atmos_rho)*((L19*linterp(10000,atmos_h,atmos_aspeed))^2)*37.8)/900),0)</f>
        <v>1.6688414385223791</v>
      </c>
      <c r="N19" cm="1">
        <f t="array" ref="N19">IF(L19&lt;$F$41,IF(-1*(1.35*0.5*linterp(10000,atmos_h,atmos_rho)*((L19*linterp(10000,atmos_h,atmos_aspeed))^2)*37.8)/900&lt;-1.5,-1.5,-1*(1.35*0.5*linterp(10000,atmos_h,atmos_rho)*((L19*linterp(10000,atmos_h,atmos_aspeed))^2)*37.8)/900),0)</f>
        <v>-1.5</v>
      </c>
    </row>
    <row r="20" spans="1:14" x14ac:dyDescent="0.25">
      <c r="A20">
        <v>4750</v>
      </c>
      <c r="B20" s="1" cm="1">
        <f t="array" ref="B20">C20/linterp(A20,atmos_h,atmos_vela)</f>
        <v>0.20093944675895223</v>
      </c>
      <c r="C20" s="2" cm="1">
        <f t="array" ref="C20">SQRT((2/linterp(A20,atmos_h,atmos_rho))*(900/37.8)*(1/1.35))</f>
        <v>130.72618057520535</v>
      </c>
      <c r="D20">
        <v>0.55000000000000004</v>
      </c>
      <c r="E20" cm="1">
        <f t="array" ref="E20">260/linterp(A20,atmos_h,atmos_sqrtdr)</f>
        <v>279.01486290712023</v>
      </c>
      <c r="F20" s="1" cm="1">
        <f t="array" ref="F20">IF(E20/linterp(A20,atmos_h,atmos_vela)&gt;D20,D20,E20/linterp(A20,atmos_h,atmos_vela))</f>
        <v>0.42887424648521727</v>
      </c>
      <c r="H20">
        <v>0.18</v>
      </c>
      <c r="I20" cm="1">
        <f t="array" ref="I20">IF(H20&lt;$H$54,IF((1.35*0.5*linterp(0,atmos_h,atmos_rho)*((H20*linterp(0,atmos_h,atmos_aspeed))^2)*37.8)/900&gt;6,6,(1.35*0.5*linterp(0,atmos_h,atmos_rho)*((H20*linterp(0,atmos_h,atmos_aspeed))^2)*37.8)/900),0)</f>
        <v>2.7213497237355413</v>
      </c>
      <c r="J20" cm="1">
        <f t="array" ref="J20">IF(H20&lt;$H$54,IF(-1*(1.35*0.5*linterp(0,atmos_h,atmos_rho)*((H20*linterp(0,atmos_h,atmos_aspeed))^2)*37.8)/900&lt;-1.5,-1.5,-1*(1.35*0.5*linterp(0,atmos_h,atmos_rho)*((H20*linterp(0,atmos_h,atmos_aspeed))^2)*37.8)/900),0)</f>
        <v>-1.5</v>
      </c>
      <c r="L20">
        <v>0.18</v>
      </c>
      <c r="M20" cm="1">
        <f t="array" ref="M20">IF(L20&lt;$F$41,IF((1.35*0.5*linterp(10000,atmos_h,atmos_rho)*((L20*linterp(10000,atmos_h,atmos_aspeed))^2)*37.8)/900&gt;6,6,(1.35*0.5*linterp(10000,atmos_h,atmos_rho)*((L20*linterp(10000,atmos_h,atmos_aspeed))^2)*37.8)/900),0)</f>
        <v>1.870950263256923</v>
      </c>
      <c r="N20" cm="1">
        <f t="array" ref="N20">IF(L20&lt;$F$41,IF(-1*(1.35*0.5*linterp(10000,atmos_h,atmos_rho)*((L20*linterp(10000,atmos_h,atmos_aspeed))^2)*37.8)/900&lt;-1.5,-1.5,-1*(1.35*0.5*linterp(10000,atmos_h,atmos_rho)*((L20*linterp(10000,atmos_h,atmos_aspeed))^2)*37.8)/900),0)</f>
        <v>-1.5</v>
      </c>
    </row>
    <row r="21" spans="1:14" x14ac:dyDescent="0.25">
      <c r="A21">
        <v>5000</v>
      </c>
      <c r="B21" s="1" cm="1">
        <f t="array" ref="B21">C21/linterp(A21,atmos_h,atmos_vela)</f>
        <v>0.20186206305754456</v>
      </c>
      <c r="C21" s="2" cm="1">
        <f t="array" ref="C21">SQRT((2/linterp(A21,atmos_h,atmos_rho))*(900/37.8)*(1/1.35))</f>
        <v>131.21235960803455</v>
      </c>
      <c r="D21">
        <v>0.55000000000000004</v>
      </c>
      <c r="E21" cm="1">
        <f t="array" ref="E21">260/linterp(A21,atmos_h,atmos_sqrtdr)</f>
        <v>280.05170185264973</v>
      </c>
      <c r="F21" s="1" cm="1">
        <f t="array" ref="F21">IF(E21/linterp(A21,atmos_h,atmos_vela)&gt;D21,D21,E21/linterp(A21,atmos_h,atmos_vela))</f>
        <v>0.43084214374032664</v>
      </c>
      <c r="H21">
        <v>0.19</v>
      </c>
      <c r="I21" cm="1">
        <f t="array" ref="I21">IF(H21&lt;$H$54,IF((1.35*0.5*linterp(0,atmos_h,atmos_rho)*((H21*linterp(0,atmos_h,atmos_aspeed))^2)*37.8)/900&gt;6,6,(1.35*0.5*linterp(0,atmos_h,atmos_rho)*((H21*linterp(0,atmos_h,atmos_aspeed))^2)*37.8)/900),0)</f>
        <v>3.0321211428041073</v>
      </c>
      <c r="J21" cm="1">
        <f t="array" ref="J21">IF(H21&lt;$H$54,IF(-1*(1.35*0.5*linterp(0,atmos_h,atmos_rho)*((H21*linterp(0,atmos_h,atmos_aspeed))^2)*37.8)/900&lt;-1.5,-1.5,-1*(1.35*0.5*linterp(0,atmos_h,atmos_rho)*((H21*linterp(0,atmos_h,atmos_aspeed))^2)*37.8)/900),0)</f>
        <v>-1.5</v>
      </c>
      <c r="L21">
        <v>0.19</v>
      </c>
      <c r="M21" cm="1">
        <f t="array" ref="M21">IF(L21&lt;$F$41,IF((1.35*0.5*linterp(10000,atmos_h,atmos_rho)*((L21*linterp(10000,atmos_h,atmos_aspeed))^2)*37.8)/900&gt;6,6,(1.35*0.5*linterp(10000,atmos_h,atmos_rho)*((L21*linterp(10000,atmos_h,atmos_aspeed))^2)*37.8)/900),0)</f>
        <v>2.084608163690584</v>
      </c>
      <c r="N21" cm="1">
        <f t="array" ref="N21">IF(L21&lt;$F$41,IF(-1*(1.35*0.5*linterp(10000,atmos_h,atmos_rho)*((L21*linterp(10000,atmos_h,atmos_aspeed))^2)*37.8)/900&lt;-1.5,-1.5,-1*(1.35*0.5*linterp(10000,atmos_h,atmos_rho)*((L21*linterp(10000,atmos_h,atmos_aspeed))^2)*37.8)/900),0)</f>
        <v>-1.5</v>
      </c>
    </row>
    <row r="22" spans="1:14" x14ac:dyDescent="0.25">
      <c r="A22">
        <v>5250</v>
      </c>
      <c r="B22" s="1" cm="1">
        <f t="array" ref="B22">C22/linterp(A22,atmos_h,atmos_vela)</f>
        <v>0.2028188985681916</v>
      </c>
      <c r="C22" s="2" cm="1">
        <f t="array" ref="C22">SQRT((2/linterp(A22,atmos_h,atmos_rho))*(900/37.8)*(1/1.35))</f>
        <v>131.71566320264782</v>
      </c>
      <c r="D22">
        <v>0.55000000000000004</v>
      </c>
      <c r="E22" cm="1">
        <f t="array" ref="E22">260/linterp(A22,atmos_h,atmos_sqrtdr)</f>
        <v>281.12666918959832</v>
      </c>
      <c r="F22" s="1" cm="1">
        <f t="array" ref="F22">IF(E22/linterp(A22,atmos_h,atmos_vela)&gt;D22,D22,E22/linterp(A22,atmos_h,atmos_vela))</f>
        <v>0.43288550516164043</v>
      </c>
      <c r="H22">
        <v>0.2</v>
      </c>
      <c r="I22" cm="1">
        <f t="array" ref="I22">IF(H22&lt;$H$54,IF((1.35*0.5*linterp(0,atmos_h,atmos_rho)*((H22*linterp(0,atmos_h,atmos_aspeed))^2)*37.8)/900&gt;6,6,(1.35*0.5*linterp(0,atmos_h,atmos_rho)*((H22*linterp(0,atmos_h,atmos_aspeed))^2)*37.8)/900),0)</f>
        <v>3.3596910169574601</v>
      </c>
      <c r="J22" cm="1">
        <f t="array" ref="J22">IF(H22&lt;$H$54,IF(-1*(1.35*0.5*linterp(0,atmos_h,atmos_rho)*((H22*linterp(0,atmos_h,atmos_aspeed))^2)*37.8)/900&lt;-1.5,-1.5,-1*(1.35*0.5*linterp(0,atmos_h,atmos_rho)*((H22*linterp(0,atmos_h,atmos_aspeed))^2)*37.8)/900),0)</f>
        <v>-1.5</v>
      </c>
      <c r="L22">
        <v>0.2</v>
      </c>
      <c r="M22" cm="1">
        <f t="array" ref="M22">IF(L22&lt;$F$41,IF((1.35*0.5*linterp(10000,atmos_h,atmos_rho)*((L22*linterp(10000,atmos_h,atmos_aspeed))^2)*37.8)/900&gt;6,6,(1.35*0.5*linterp(10000,atmos_h,atmos_rho)*((L22*linterp(10000,atmos_h,atmos_aspeed))^2)*37.8)/900),0)</f>
        <v>2.3098151398233617</v>
      </c>
      <c r="N22" cm="1">
        <f t="array" ref="N22">IF(L22&lt;$F$41,IF(-1*(1.35*0.5*linterp(10000,atmos_h,atmos_rho)*((L22*linterp(10000,atmos_h,atmos_aspeed))^2)*37.8)/900&lt;-1.5,-1.5,-1*(1.35*0.5*linterp(10000,atmos_h,atmos_rho)*((L22*linterp(10000,atmos_h,atmos_aspeed))^2)*37.8)/900),0)</f>
        <v>-1.5</v>
      </c>
    </row>
    <row r="23" spans="1:14" x14ac:dyDescent="0.25">
      <c r="A23">
        <v>5500</v>
      </c>
      <c r="B23" s="1" cm="1">
        <f t="array" ref="B23">C23/linterp(A23,atmos_h,atmos_vela)</f>
        <v>0.20378645474039075</v>
      </c>
      <c r="C23" s="2" cm="1">
        <f t="array" ref="C23">SQRT((2/linterp(A23,atmos_h,atmos_rho))*(900/37.8)*(1/1.35))</f>
        <v>132.22480329375512</v>
      </c>
      <c r="D23">
        <v>0.55000000000000004</v>
      </c>
      <c r="E23" cm="1">
        <f t="array" ref="E23">260/linterp(A23,atmos_h,atmos_sqrtdr)</f>
        <v>282.20992076413762</v>
      </c>
      <c r="F23" s="1" cm="1">
        <f t="array" ref="F23">IF(E23/linterp(A23,atmos_h,atmos_vela)&gt;D23,D23,E23/linterp(A23,atmos_h,atmos_vela))</f>
        <v>0.43494531897561439</v>
      </c>
      <c r="H23">
        <v>0.21</v>
      </c>
      <c r="I23" cm="1">
        <f t="array" ref="I23">IF(H23&lt;$H$54,IF((1.35*0.5*linterp(0,atmos_h,atmos_rho)*((H23*linterp(0,atmos_h,atmos_aspeed))^2)*37.8)/900&gt;6,6,(1.35*0.5*linterp(0,atmos_h,atmos_rho)*((H23*linterp(0,atmos_h,atmos_aspeed))^2)*37.8)/900),0)</f>
        <v>3.7040593461955993</v>
      </c>
      <c r="J23" cm="1">
        <f t="array" ref="J23">IF(H23&lt;$H$54,IF(-1*(1.35*0.5*linterp(0,atmos_h,atmos_rho)*((H23*linterp(0,atmos_h,atmos_aspeed))^2)*37.8)/900&lt;-1.5,-1.5,-1*(1.35*0.5*linterp(0,atmos_h,atmos_rho)*((H23*linterp(0,atmos_h,atmos_aspeed))^2)*37.8)/900),0)</f>
        <v>-1.5</v>
      </c>
      <c r="L23">
        <v>0.21</v>
      </c>
      <c r="M23" cm="1">
        <f t="array" ref="M23">IF(L23&lt;$F$41,IF((1.35*0.5*linterp(10000,atmos_h,atmos_rho)*((L23*linterp(10000,atmos_h,atmos_aspeed))^2)*37.8)/900&gt;6,6,(1.35*0.5*linterp(10000,atmos_h,atmos_rho)*((L23*linterp(10000,atmos_h,atmos_aspeed))^2)*37.8)/900),0)</f>
        <v>2.5465711916552558</v>
      </c>
      <c r="N23" cm="1">
        <f t="array" ref="N23">IF(L23&lt;$F$41,IF(-1*(1.35*0.5*linterp(10000,atmos_h,atmos_rho)*((L23*linterp(10000,atmos_h,atmos_aspeed))^2)*37.8)/900&lt;-1.5,-1.5,-1*(1.35*0.5*linterp(10000,atmos_h,atmos_rho)*((L23*linterp(10000,atmos_h,atmos_aspeed))^2)*37.8)/900),0)</f>
        <v>-1.5</v>
      </c>
    </row>
    <row r="24" spans="1:14" x14ac:dyDescent="0.25">
      <c r="A24">
        <v>5750</v>
      </c>
      <c r="B24" s="1" cm="1">
        <f t="array" ref="B24">C24/linterp(A24,atmos_h,atmos_vela)</f>
        <v>0.20476493596527601</v>
      </c>
      <c r="C24" s="2" cm="1">
        <f t="array" ref="C24">SQRT((2/linterp(A24,atmos_h,atmos_rho))*(900/37.8)*(1/1.35))</f>
        <v>132.73989356416999</v>
      </c>
      <c r="D24">
        <v>0.55000000000000004</v>
      </c>
      <c r="E24" cm="1">
        <f t="array" ref="E24">260/linterp(A24,atmos_h,atmos_sqrtdr)</f>
        <v>283.3015527104331</v>
      </c>
      <c r="F24" s="1" cm="1">
        <f t="array" ref="F24">IF(E24/linterp(A24,atmos_h,atmos_vela)&gt;D24,D24,E24/linterp(A24,atmos_h,atmos_vela))</f>
        <v>0.43702177802012032</v>
      </c>
      <c r="H24">
        <v>0.22</v>
      </c>
      <c r="I24" cm="1">
        <f t="array" ref="I24">IF(H24&lt;$H$54,IF((1.35*0.5*linterp(0,atmos_h,atmos_rho)*((H24*linterp(0,atmos_h,atmos_aspeed))^2)*37.8)/900&gt;6,6,(1.35*0.5*linterp(0,atmos_h,atmos_rho)*((H24*linterp(0,atmos_h,atmos_aspeed))^2)*37.8)/900),0)</f>
        <v>4.0652261305185258</v>
      </c>
      <c r="J24" cm="1">
        <f t="array" ref="J24">IF(H24&lt;$H$54,IF(-1*(1.35*0.5*linterp(0,atmos_h,atmos_rho)*((H24*linterp(0,atmos_h,atmos_aspeed))^2)*37.8)/900&lt;-1.5,-1.5,-1*(1.35*0.5*linterp(0,atmos_h,atmos_rho)*((H24*linterp(0,atmos_h,atmos_aspeed))^2)*37.8)/900),0)</f>
        <v>-1.5</v>
      </c>
      <c r="L24">
        <v>0.22</v>
      </c>
      <c r="M24" cm="1">
        <f t="array" ref="M24">IF(L24&lt;$F$41,IF((1.35*0.5*linterp(10000,atmos_h,atmos_rho)*((L24*linterp(10000,atmos_h,atmos_aspeed))^2)*37.8)/900&gt;6,6,(1.35*0.5*linterp(10000,atmos_h,atmos_rho)*((L24*linterp(10000,atmos_h,atmos_aspeed))^2)*37.8)/900),0)</f>
        <v>2.7948763191862676</v>
      </c>
      <c r="N24" cm="1">
        <f t="array" ref="N24">IF(L24&lt;$F$41,IF(-1*(1.35*0.5*linterp(10000,atmos_h,atmos_rho)*((L24*linterp(10000,atmos_h,atmos_aspeed))^2)*37.8)/900&lt;-1.5,-1.5,-1*(1.35*0.5*linterp(10000,atmos_h,atmos_rho)*((L24*linterp(10000,atmos_h,atmos_aspeed))^2)*37.8)/900),0)</f>
        <v>-1.5</v>
      </c>
    </row>
    <row r="25" spans="1:14" x14ac:dyDescent="0.25">
      <c r="A25">
        <v>6000</v>
      </c>
      <c r="B25" s="1" cm="1">
        <f t="array" ref="B25">C25/linterp(A25,atmos_h,atmos_vela)</f>
        <v>0.20575455219646302</v>
      </c>
      <c r="C25" s="2" cm="1">
        <f t="array" ref="C25">SQRT((2/linterp(A25,atmos_h,atmos_rho))*(900/37.8)*(1/1.35))</f>
        <v>133.26105082108319</v>
      </c>
      <c r="D25">
        <v>0.55000000000000004</v>
      </c>
      <c r="E25" cm="1">
        <f t="array" ref="E25">260/linterp(A25,atmos_h,atmos_sqrtdr)</f>
        <v>284.40166265587396</v>
      </c>
      <c r="F25" s="1" cm="1">
        <f t="array" ref="F25">IF(E25/linterp(A25,atmos_h,atmos_vela)&gt;D25,D25,E25/linterp(A25,atmos_h,atmos_vela))</f>
        <v>0.43911507813527567</v>
      </c>
      <c r="H25">
        <v>0.23</v>
      </c>
      <c r="I25" cm="1">
        <f t="array" ref="I25">IF(H25&lt;$H$54,IF((1.35*0.5*linterp(0,atmos_h,atmos_rho)*((H25*linterp(0,atmos_h,atmos_aspeed))^2)*37.8)/900&gt;6,6,(1.35*0.5*linterp(0,atmos_h,atmos_rho)*((H25*linterp(0,atmos_h,atmos_aspeed))^2)*37.8)/900),0)</f>
        <v>4.4431913699262395</v>
      </c>
      <c r="J25" cm="1">
        <f t="array" ref="J25">IF(H25&lt;$H$54,IF(-1*(1.35*0.5*linterp(0,atmos_h,atmos_rho)*((H25*linterp(0,atmos_h,atmos_aspeed))^2)*37.8)/900&lt;-1.5,-1.5,-1*(1.35*0.5*linterp(0,atmos_h,atmos_rho)*((H25*linterp(0,atmos_h,atmos_aspeed))^2)*37.8)/900),0)</f>
        <v>-1.5</v>
      </c>
      <c r="L25">
        <v>0.23</v>
      </c>
      <c r="M25" cm="1">
        <f t="array" ref="M25">IF(L25&lt;$F$41,IF((1.35*0.5*linterp(10000,atmos_h,atmos_rho)*((L25*linterp(10000,atmos_h,atmos_aspeed))^2)*37.8)/900&gt;6,6,(1.35*0.5*linterp(10000,atmos_h,atmos_rho)*((L25*linterp(10000,atmos_h,atmos_aspeed))^2)*37.8)/900),0)</f>
        <v>3.054730522416397</v>
      </c>
      <c r="N25" cm="1">
        <f t="array" ref="N25">IF(L25&lt;$F$41,IF(-1*(1.35*0.5*linterp(10000,atmos_h,atmos_rho)*((L25*linterp(10000,atmos_h,atmos_aspeed))^2)*37.8)/900&lt;-1.5,-1.5,-1*(1.35*0.5*linterp(10000,atmos_h,atmos_rho)*((L25*linterp(10000,atmos_h,atmos_aspeed))^2)*37.8)/900),0)</f>
        <v>-1.5</v>
      </c>
    </row>
    <row r="26" spans="1:14" x14ac:dyDescent="0.25">
      <c r="A26">
        <v>6250</v>
      </c>
      <c r="B26" s="1" cm="1">
        <f t="array" ref="B26">C26/linterp(A26,atmos_h,atmos_vela)</f>
        <v>0.20672669721667031</v>
      </c>
      <c r="C26" s="2" cm="1">
        <f t="array" ref="C26">SQRT((2/linterp(A26,atmos_h,atmos_rho))*(900/37.8)*(1/1.35))</f>
        <v>133.76871123496301</v>
      </c>
      <c r="D26">
        <v>0.55000000000000004</v>
      </c>
      <c r="E26" cm="1">
        <f t="array" ref="E26">260/linterp(A26,atmos_h,atmos_sqrtdr)</f>
        <v>285.49467442626548</v>
      </c>
      <c r="F26" s="1" cm="1">
        <f t="array" ref="F26">IF(E26/linterp(A26,atmos_h,atmos_vela)&gt;D26,D26,E26/linterp(A26,atmos_h,atmos_vela))</f>
        <v>0.44120460287177088</v>
      </c>
      <c r="H26">
        <v>0.24</v>
      </c>
      <c r="I26" cm="1">
        <f t="array" ref="I26">IF(H26&lt;$H$54,IF((1.35*0.5*linterp(0,atmos_h,atmos_rho)*((H26*linterp(0,atmos_h,atmos_aspeed))^2)*37.8)/900&gt;6,6,(1.35*0.5*linterp(0,atmos_h,atmos_rho)*((H26*linterp(0,atmos_h,atmos_aspeed))^2)*37.8)/900),0)</f>
        <v>4.8379550644187406</v>
      </c>
      <c r="J26" cm="1">
        <f t="array" ref="J26">IF(H26&lt;$H$54,IF(-1*(1.35*0.5*linterp(0,atmos_h,atmos_rho)*((H26*linterp(0,atmos_h,atmos_aspeed))^2)*37.8)/900&lt;-1.5,-1.5,-1*(1.35*0.5*linterp(0,atmos_h,atmos_rho)*((H26*linterp(0,atmos_h,atmos_aspeed))^2)*37.8)/900),0)</f>
        <v>-1.5</v>
      </c>
      <c r="L26">
        <v>0.24</v>
      </c>
      <c r="M26" cm="1">
        <f t="array" ref="M26">IF(L26&lt;$F$41,IF((1.35*0.5*linterp(10000,atmos_h,atmos_rho)*((L26*linterp(10000,atmos_h,atmos_aspeed))^2)*37.8)/900&gt;6,6,(1.35*0.5*linterp(10000,atmos_h,atmos_rho)*((L26*linterp(10000,atmos_h,atmos_aspeed))^2)*37.8)/900),0)</f>
        <v>3.3261338013456405</v>
      </c>
      <c r="N26" cm="1">
        <f t="array" ref="N26">IF(L26&lt;$F$41,IF(-1*(1.35*0.5*linterp(10000,atmos_h,atmos_rho)*((L26*linterp(10000,atmos_h,atmos_aspeed))^2)*37.8)/900&lt;-1.5,-1.5,-1*(1.35*0.5*linterp(10000,atmos_h,atmos_rho)*((L26*linterp(10000,atmos_h,atmos_aspeed))^2)*37.8)/900),0)</f>
        <v>-1.5</v>
      </c>
    </row>
    <row r="27" spans="1:14" x14ac:dyDescent="0.25">
      <c r="A27">
        <v>6500</v>
      </c>
      <c r="B27" s="1" cm="1">
        <f t="array" ref="B27">C27/linterp(A27,atmos_h,atmos_vela)</f>
        <v>0.20770965990476697</v>
      </c>
      <c r="C27" s="2" cm="1">
        <f t="array" ref="C27">SQRT((2/linterp(A27,atmos_h,atmos_rho))*(900/37.8)*(1/1.35))</f>
        <v>134.2822180318328</v>
      </c>
      <c r="D27">
        <v>0.55000000000000004</v>
      </c>
      <c r="E27" cm="1">
        <f t="array" ref="E27">260/linterp(A27,atmos_h,atmos_sqrtdr)</f>
        <v>286.59611992945327</v>
      </c>
      <c r="F27" s="1" cm="1">
        <f t="array" ref="F27">IF(E27/linterp(A27,atmos_h,atmos_vela)&gt;D27,D27,E27/linterp(A27,atmos_h,atmos_vela))</f>
        <v>0.443310986913105</v>
      </c>
      <c r="H27">
        <v>0.25</v>
      </c>
      <c r="I27" cm="1">
        <f t="array" ref="I27">IF(H27&lt;$H$54,IF((1.35*0.5*linterp(0,atmos_h,atmos_rho)*((H27*linterp(0,atmos_h,atmos_aspeed))^2)*37.8)/900&gt;6,6,(1.35*0.5*linterp(0,atmos_h,atmos_rho)*((H27*linterp(0,atmos_h,atmos_aspeed))^2)*37.8)/900),0)</f>
        <v>5.2495172139960307</v>
      </c>
      <c r="J27" cm="1">
        <f t="array" ref="J27">IF(H27&lt;$H$54,IF(-1*(1.35*0.5*linterp(0,atmos_h,atmos_rho)*((H27*linterp(0,atmos_h,atmos_aspeed))^2)*37.8)/900&lt;-1.5,-1.5,-1*(1.35*0.5*linterp(0,atmos_h,atmos_rho)*((H27*linterp(0,atmos_h,atmos_aspeed))^2)*37.8)/900),0)</f>
        <v>-1.5</v>
      </c>
      <c r="L27">
        <v>0.25</v>
      </c>
      <c r="M27" cm="1">
        <f t="array" ref="M27">IF(L27&lt;$F$41,IF((1.35*0.5*linterp(10000,atmos_h,atmos_rho)*((L27*linterp(10000,atmos_h,atmos_aspeed))^2)*37.8)/900&gt;6,6,(1.35*0.5*linterp(10000,atmos_h,atmos_rho)*((L27*linterp(10000,atmos_h,atmos_aspeed))^2)*37.8)/900),0)</f>
        <v>3.6090861559740031</v>
      </c>
      <c r="N27" cm="1">
        <f t="array" ref="N27">IF(L27&lt;$F$41,IF(-1*(1.35*0.5*linterp(10000,atmos_h,atmos_rho)*((L27*linterp(10000,atmos_h,atmos_aspeed))^2)*37.8)/900&lt;-1.5,-1.5,-1*(1.35*0.5*linterp(10000,atmos_h,atmos_rho)*((L27*linterp(10000,atmos_h,atmos_aspeed))^2)*37.8)/900),0)</f>
        <v>-1.5</v>
      </c>
    </row>
    <row r="28" spans="1:14" x14ac:dyDescent="0.25">
      <c r="A28">
        <v>6750</v>
      </c>
      <c r="B28" s="1" cm="1">
        <f t="array" ref="B28">C28/linterp(A28,atmos_h,atmos_vela)</f>
        <v>0.20870364498363833</v>
      </c>
      <c r="C28" s="2" cm="1">
        <f t="array" ref="C28">SQRT((2/linterp(A28,atmos_h,atmos_rho))*(900/37.8)*(1/1.35))</f>
        <v>134.80168429493199</v>
      </c>
      <c r="D28">
        <v>0.55000000000000004</v>
      </c>
      <c r="E28" cm="1">
        <f t="array" ref="E28">260/linterp(A28,atmos_h,atmos_sqrtdr)</f>
        <v>287.70609715613591</v>
      </c>
      <c r="F28" s="1" cm="1">
        <f t="array" ref="F28">IF(E28/linterp(A28,atmos_h,atmos_vela)&gt;D28,D28,E28/linterp(A28,atmos_h,atmos_vela))</f>
        <v>0.44543442817175399</v>
      </c>
      <c r="H28">
        <v>0.26</v>
      </c>
      <c r="I28" cm="1">
        <f t="array" ref="I28">IF(H28&lt;$H$54,IF((1.35*0.5*linterp(0,atmos_h,atmos_rho)*((H28*linterp(0,atmos_h,atmos_aspeed))^2)*37.8)/900&gt;6,6,(1.35*0.5*linterp(0,atmos_h,atmos_rho)*((H28*linterp(0,atmos_h,atmos_aspeed))^2)*37.8)/900),0)</f>
        <v>5.6778778186581063</v>
      </c>
      <c r="J28" cm="1">
        <f t="array" ref="J28">IF(H28&lt;$H$54,IF(-1*(1.35*0.5*linterp(0,atmos_h,atmos_rho)*((H28*linterp(0,atmos_h,atmos_aspeed))^2)*37.8)/900&lt;-1.5,-1.5,-1*(1.35*0.5*linterp(0,atmos_h,atmos_rho)*((H28*linterp(0,atmos_h,atmos_aspeed))^2)*37.8)/900),0)</f>
        <v>-1.5</v>
      </c>
      <c r="L28">
        <v>0.26</v>
      </c>
      <c r="M28" cm="1">
        <f t="array" ref="M28">IF(L28&lt;$F$41,IF((1.35*0.5*linterp(10000,atmos_h,atmos_rho)*((L28*linterp(10000,atmos_h,atmos_aspeed))^2)*37.8)/900&gt;6,6,(1.35*0.5*linterp(10000,atmos_h,atmos_rho)*((L28*linterp(10000,atmos_h,atmos_aspeed))^2)*37.8)/900),0)</f>
        <v>3.9035875863014806</v>
      </c>
      <c r="N28" cm="1">
        <f t="array" ref="N28">IF(L28&lt;$F$41,IF(-1*(1.35*0.5*linterp(10000,atmos_h,atmos_rho)*((L28*linterp(10000,atmos_h,atmos_aspeed))^2)*37.8)/900&lt;-1.5,-1.5,-1*(1.35*0.5*linterp(10000,atmos_h,atmos_rho)*((L28*linterp(10000,atmos_h,atmos_aspeed))^2)*37.8)/900),0)</f>
        <v>-1.5</v>
      </c>
    </row>
    <row r="29" spans="1:14" x14ac:dyDescent="0.25">
      <c r="A29">
        <v>7000</v>
      </c>
      <c r="B29" s="1" cm="1">
        <f t="array" ref="B29">C29/linterp(A29,atmos_h,atmos_vela)</f>
        <v>0.20970886270724301</v>
      </c>
      <c r="C29" s="2" cm="1">
        <f t="array" ref="C29">SQRT((2/linterp(A29,atmos_h,atmos_rho))*(900/37.8)*(1/1.35))</f>
        <v>135.32722619361098</v>
      </c>
      <c r="D29">
        <v>0.55000000000000004</v>
      </c>
      <c r="E29" cm="1">
        <f t="array" ref="E29">260/linterp(A29,atmos_h,atmos_sqrtdr)</f>
        <v>288.82470562097313</v>
      </c>
      <c r="F29" s="1" cm="1">
        <f t="array" ref="F29">IF(E29/linterp(A29,atmos_h,atmos_vela)&gt;D29,D29,E29/linterp(A29,atmos_h,atmos_vela))</f>
        <v>0.4475751276455861</v>
      </c>
      <c r="H29">
        <v>0.27</v>
      </c>
      <c r="I29" cm="1">
        <f t="array" ref="I29">IF(H29&lt;$H$54,IF((1.35*0.5*linterp(0,atmos_h,atmos_rho)*((H29*linterp(0,atmos_h,atmos_aspeed))^2)*37.8)/900&gt;6,6,(1.35*0.5*linterp(0,atmos_h,atmos_rho)*((H29*linterp(0,atmos_h,atmos_aspeed))^2)*37.8)/900),0)</f>
        <v>6</v>
      </c>
      <c r="J29" cm="1">
        <f t="array" ref="J29">IF(H29&lt;$H$54,IF(-1*(1.35*0.5*linterp(0,atmos_h,atmos_rho)*((H29*linterp(0,atmos_h,atmos_aspeed))^2)*37.8)/900&lt;-1.5,-1.5,-1*(1.35*0.5*linterp(0,atmos_h,atmos_rho)*((H29*linterp(0,atmos_h,atmos_aspeed))^2)*37.8)/900),0)</f>
        <v>-1.5</v>
      </c>
      <c r="L29">
        <v>0.27</v>
      </c>
      <c r="M29" cm="1">
        <f t="array" ref="M29">IF(L29&lt;$F$41,IF((1.35*0.5*linterp(10000,atmos_h,atmos_rho)*((L29*linterp(10000,atmos_h,atmos_aspeed))^2)*37.8)/900&gt;6,6,(1.35*0.5*linterp(10000,atmos_h,atmos_rho)*((L29*linterp(10000,atmos_h,atmos_aspeed))^2)*37.8)/900),0)</f>
        <v>4.2096380923280767</v>
      </c>
      <c r="N29" cm="1">
        <f t="array" ref="N29">IF(L29&lt;$F$41,IF(-1*(1.35*0.5*linterp(10000,atmos_h,atmos_rho)*((L29*linterp(10000,atmos_h,atmos_aspeed))^2)*37.8)/900&lt;-1.5,-1.5,-1*(1.35*0.5*linterp(10000,atmos_h,atmos_rho)*((L29*linterp(10000,atmos_h,atmos_aspeed))^2)*37.8)/900),0)</f>
        <v>-1.5</v>
      </c>
    </row>
    <row r="30" spans="1:14" x14ac:dyDescent="0.25">
      <c r="A30">
        <v>7250</v>
      </c>
      <c r="B30" s="1" cm="1">
        <f t="array" ref="B30">C30/linterp(A30,atmos_h,atmos_vela)</f>
        <v>0.21067393638252457</v>
      </c>
      <c r="C30" s="2" cm="1">
        <f t="array" ref="C30">SQRT((2/linterp(A30,atmos_h,atmos_rho))*(900/37.8)*(1/1.35))</f>
        <v>135.82991374326889</v>
      </c>
      <c r="D30">
        <v>0.55000000000000004</v>
      </c>
      <c r="E30" cm="1">
        <f t="array" ref="E30">260/linterp(A30,atmos_h,atmos_sqrtdr)</f>
        <v>289.90355131850362</v>
      </c>
      <c r="F30" s="1" cm="1">
        <f t="array" ref="F30">IF(E30/linterp(A30,atmos_h,atmos_vela)&gt;D30,D30,E30/linterp(A30,atmos_h,atmos_vela))</f>
        <v>0.44964412215544813</v>
      </c>
      <c r="H30">
        <v>0.28000000000000003</v>
      </c>
      <c r="I30" cm="1">
        <f t="array" ref="I30">IF(H30&lt;$H$54,IF((1.35*0.5*linterp(0,atmos_h,atmos_rho)*((H30*linterp(0,atmos_h,atmos_aspeed))^2)*37.8)/900&gt;6,6,(1.35*0.5*linterp(0,atmos_h,atmos_rho)*((H30*linterp(0,atmos_h,atmos_aspeed))^2)*37.8)/900),0)</f>
        <v>6</v>
      </c>
      <c r="J30" cm="1">
        <f t="array" ref="J30">IF(H30&lt;$H$54,IF(-1*(1.35*0.5*linterp(0,atmos_h,atmos_rho)*((H30*linterp(0,atmos_h,atmos_aspeed))^2)*37.8)/900&lt;-1.5,-1.5,-1*(1.35*0.5*linterp(0,atmos_h,atmos_rho)*((H30*linterp(0,atmos_h,atmos_aspeed))^2)*37.8)/900),0)</f>
        <v>-1.5</v>
      </c>
      <c r="L30">
        <v>0.28000000000000003</v>
      </c>
      <c r="M30" cm="1">
        <f t="array" ref="M30">IF(L30&lt;$F$41,IF((1.35*0.5*linterp(10000,atmos_h,atmos_rho)*((L30*linterp(10000,atmos_h,atmos_aspeed))^2)*37.8)/900&gt;6,6,(1.35*0.5*linterp(10000,atmos_h,atmos_rho)*((L30*linterp(10000,atmos_h,atmos_aspeed))^2)*37.8)/900),0)</f>
        <v>4.5272376740537892</v>
      </c>
      <c r="N30" cm="1">
        <f t="array" ref="N30">IF(L30&lt;$F$41,IF(-1*(1.35*0.5*linterp(10000,atmos_h,atmos_rho)*((L30*linterp(10000,atmos_h,atmos_aspeed))^2)*37.8)/900&lt;-1.5,-1.5,-1*(1.35*0.5*linterp(10000,atmos_h,atmos_rho)*((L30*linterp(10000,atmos_h,atmos_aspeed))^2)*37.8)/900),0)</f>
        <v>-1.5</v>
      </c>
    </row>
    <row r="31" spans="1:14" x14ac:dyDescent="0.25">
      <c r="A31">
        <v>7500</v>
      </c>
      <c r="B31" s="1" cm="1">
        <f t="array" ref="B31">C31/linterp(A31,atmos_h,atmos_vela)</f>
        <v>0.21164947932391148</v>
      </c>
      <c r="C31" s="2" cm="1">
        <f t="array" ref="C31">SQRT((2/linterp(A31,atmos_h,atmos_rho))*(900/37.8)*(1/1.35))</f>
        <v>136.33824509608405</v>
      </c>
      <c r="D31">
        <v>0.55000000000000004</v>
      </c>
      <c r="E31" cm="1">
        <f t="array" ref="E31">260/linterp(A31,atmos_h,atmos_sqrtdr)</f>
        <v>290.99048684946837</v>
      </c>
      <c r="F31" s="1" cm="1">
        <f t="array" ref="F31">IF(E31/linterp(A31,atmos_h,atmos_vela)&gt;D31,D31,E31/linterp(A31,atmos_h,atmos_vela))</f>
        <v>0.45172933674258098</v>
      </c>
      <c r="H31">
        <v>0.28999999999999998</v>
      </c>
      <c r="I31" cm="1">
        <f t="array" ref="I31">IF(H31&lt;$H$54,IF((1.35*0.5*linterp(0,atmos_h,atmos_rho)*((H31*linterp(0,atmos_h,atmos_aspeed))^2)*37.8)/900&gt;6,6,(1.35*0.5*linterp(0,atmos_h,atmos_rho)*((H31*linterp(0,atmos_h,atmos_aspeed))^2)*37.8)/900),0)</f>
        <v>6</v>
      </c>
      <c r="J31" cm="1">
        <f t="array" ref="J31">IF(H31&lt;$H$54,IF(-1*(1.35*0.5*linterp(0,atmos_h,atmos_rho)*((H31*linterp(0,atmos_h,atmos_aspeed))^2)*37.8)/900&lt;-1.5,-1.5,-1*(1.35*0.5*linterp(0,atmos_h,atmos_rho)*((H31*linterp(0,atmos_h,atmos_aspeed))^2)*37.8)/900),0)</f>
        <v>-1.5</v>
      </c>
      <c r="L31">
        <v>0.28999999999999998</v>
      </c>
      <c r="M31" cm="1">
        <f t="array" ref="M31">IF(L31&lt;$F$41,IF((1.35*0.5*linterp(10000,atmos_h,atmos_rho)*((L31*linterp(10000,atmos_h,atmos_aspeed))^2)*37.8)/900&gt;6,6,(1.35*0.5*linterp(10000,atmos_h,atmos_rho)*((L31*linterp(10000,atmos_h,atmos_aspeed))^2)*37.8)/900),0)</f>
        <v>4.8563863314786166</v>
      </c>
      <c r="N31" cm="1">
        <f t="array" ref="N31">IF(L31&lt;$F$41,IF(-1*(1.35*0.5*linterp(10000,atmos_h,atmos_rho)*((L31*linterp(10000,atmos_h,atmos_aspeed))^2)*37.8)/900&lt;-1.5,-1.5,-1*(1.35*0.5*linterp(10000,atmos_h,atmos_rho)*((L31*linterp(10000,atmos_h,atmos_aspeed))^2)*37.8)/900),0)</f>
        <v>-1.5</v>
      </c>
    </row>
    <row r="32" spans="1:14" x14ac:dyDescent="0.25">
      <c r="A32">
        <v>7750</v>
      </c>
      <c r="B32" s="1" cm="1">
        <f t="array" ref="B32">C32/linterp(A32,atmos_h,atmos_vela)</f>
        <v>0.21263568467389787</v>
      </c>
      <c r="C32" s="2" cm="1">
        <f t="array" ref="C32">SQRT((2/linterp(A32,atmos_h,atmos_rho))*(900/37.8)*(1/1.35))</f>
        <v>136.85232665612065</v>
      </c>
      <c r="D32">
        <v>0.55000000000000004</v>
      </c>
      <c r="E32" cm="1">
        <f t="array" ref="E32">260/linterp(A32,atmos_h,atmos_sqrtdr)</f>
        <v>292.08560354996348</v>
      </c>
      <c r="F32" s="1" cm="1">
        <f t="array" ref="F32">IF(E32/linterp(A32,atmos_h,atmos_vela)&gt;D32,D32,E32/linterp(A32,atmos_h,atmos_vela))</f>
        <v>0.45383095641697252</v>
      </c>
      <c r="H32">
        <v>0.3</v>
      </c>
      <c r="I32" cm="1">
        <f t="array" ref="I32">IF(H32&lt;$H$54,IF((1.35*0.5*linterp(0,atmos_h,atmos_rho)*((H32*linterp(0,atmos_h,atmos_aspeed))^2)*37.8)/900&gt;6,6,(1.35*0.5*linterp(0,atmos_h,atmos_rho)*((H32*linterp(0,atmos_h,atmos_aspeed))^2)*37.8)/900),0)</f>
        <v>6</v>
      </c>
      <c r="J32" cm="1">
        <f t="array" ref="J32">IF(H32&lt;$H$54,IF(-1*(1.35*0.5*linterp(0,atmos_h,atmos_rho)*((H32*linterp(0,atmos_h,atmos_aspeed))^2)*37.8)/900&lt;-1.5,-1.5,-1*(1.35*0.5*linterp(0,atmos_h,atmos_rho)*((H32*linterp(0,atmos_h,atmos_aspeed))^2)*37.8)/900),0)</f>
        <v>-1.5</v>
      </c>
      <c r="L32">
        <v>0.3</v>
      </c>
      <c r="M32" cm="1">
        <f t="array" ref="M32">IF(L32&lt;$F$41,IF((1.35*0.5*linterp(10000,atmos_h,atmos_rho)*((L32*linterp(10000,atmos_h,atmos_aspeed))^2)*37.8)/900&gt;6,6,(1.35*0.5*linterp(10000,atmos_h,atmos_rho)*((L32*linterp(10000,atmos_h,atmos_aspeed))^2)*37.8)/900),0)</f>
        <v>5.1970840646025644</v>
      </c>
      <c r="N32" cm="1">
        <f t="array" ref="N32">IF(L32&lt;$F$41,IF(-1*(1.35*0.5*linterp(10000,atmos_h,atmos_rho)*((L32*linterp(10000,atmos_h,atmos_aspeed))^2)*37.8)/900&lt;-1.5,-1.5,-1*(1.35*0.5*linterp(10000,atmos_h,atmos_rho)*((L32*linterp(10000,atmos_h,atmos_aspeed))^2)*37.8)/900),0)</f>
        <v>-1.5</v>
      </c>
    </row>
    <row r="33" spans="1:14" x14ac:dyDescent="0.25">
      <c r="A33">
        <v>8000</v>
      </c>
      <c r="B33" s="1" cm="1">
        <f t="array" ref="B33">C33/linterp(A33,atmos_h,atmos_vela)</f>
        <v>0.21363275066058918</v>
      </c>
      <c r="C33" s="2" cm="1">
        <f t="array" ref="C33">SQRT((2/linterp(A33,atmos_h,atmos_rho))*(900/37.8)*(1/1.35))</f>
        <v>137.37226765727866</v>
      </c>
      <c r="D33">
        <v>0.55000000000000004</v>
      </c>
      <c r="E33" cm="1">
        <f t="array" ref="E33">260/linterp(A33,atmos_h,atmos_sqrtdr)</f>
        <v>293.18899413622012</v>
      </c>
      <c r="F33" s="1" cm="1">
        <f t="array" ref="F33">IF(E33/linterp(A33,atmos_h,atmos_vela)&gt;D33,D33,E33/linterp(A33,atmos_h,atmos_vela))</f>
        <v>0.45594916899090265</v>
      </c>
      <c r="H33">
        <v>0.31</v>
      </c>
      <c r="I33" cm="1">
        <f t="array" ref="I33">IF(H33&lt;$H$54,IF((1.35*0.5*linterp(0,atmos_h,atmos_rho)*((H33*linterp(0,atmos_h,atmos_aspeed))^2)*37.8)/900&gt;6,6,(1.35*0.5*linterp(0,atmos_h,atmos_rho)*((H33*linterp(0,atmos_h,atmos_aspeed))^2)*37.8)/900),0)</f>
        <v>6</v>
      </c>
      <c r="J33" cm="1">
        <f t="array" ref="J33">IF(H33&lt;$H$54,IF(-1*(1.35*0.5*linterp(0,atmos_h,atmos_rho)*((H33*linterp(0,atmos_h,atmos_aspeed))^2)*37.8)/900&lt;-1.5,-1.5,-1*(1.35*0.5*linterp(0,atmos_h,atmos_rho)*((H33*linterp(0,atmos_h,atmos_aspeed))^2)*37.8)/900),0)</f>
        <v>-1.5</v>
      </c>
      <c r="L33">
        <v>0.31</v>
      </c>
      <c r="M33" cm="1">
        <f t="array" ref="M33">IF(L33&lt;$F$41,IF((1.35*0.5*linterp(10000,atmos_h,atmos_rho)*((L33*linterp(10000,atmos_h,atmos_aspeed))^2)*37.8)/900&gt;6,6,(1.35*0.5*linterp(10000,atmos_h,atmos_rho)*((L33*linterp(10000,atmos_h,atmos_aspeed))^2)*37.8)/900),0)</f>
        <v>5.5493308734256264</v>
      </c>
      <c r="N33" cm="1">
        <f t="array" ref="N33">IF(L33&lt;$F$41,IF(-1*(1.35*0.5*linterp(10000,atmos_h,atmos_rho)*((L33*linterp(10000,atmos_h,atmos_aspeed))^2)*37.8)/900&lt;-1.5,-1.5,-1*(1.35*0.5*linterp(10000,atmos_h,atmos_rho)*((L33*linterp(10000,atmos_h,atmos_aspeed))^2)*37.8)/900),0)</f>
        <v>-1.5</v>
      </c>
    </row>
    <row r="34" spans="1:14" x14ac:dyDescent="0.25">
      <c r="A34">
        <v>8250</v>
      </c>
      <c r="B34" s="1" cm="1">
        <f t="array" ref="B34">C34/linterp(A34,atmos_h,atmos_vela)</f>
        <v>0.21466951960976446</v>
      </c>
      <c r="C34" s="2" cm="1">
        <f t="array" ref="C34">SQRT((2/linterp(A34,atmos_h,atmos_rho))*(900/37.8)*(1/1.35))</f>
        <v>137.91174950429806</v>
      </c>
      <c r="D34">
        <v>0.55000000000000004</v>
      </c>
      <c r="E34" cm="1">
        <f t="array" ref="E34">260/linterp(A34,atmos_h,atmos_sqrtdr)</f>
        <v>294.34239945659863</v>
      </c>
      <c r="F34" s="1" cm="1">
        <f t="array" ref="F34">IF(E34/linterp(A34,atmos_h,atmos_vela)&gt;D34,D34,E34/linterp(A34,atmos_h,atmos_vela))</f>
        <v>0.4581650346634476</v>
      </c>
      <c r="H34">
        <v>0.32</v>
      </c>
      <c r="I34" cm="1">
        <f t="array" ref="I34">IF(H34&lt;$H$54,IF((1.35*0.5*linterp(0,atmos_h,atmos_rho)*((H34*linterp(0,atmos_h,atmos_aspeed))^2)*37.8)/900&gt;6,6,(1.35*0.5*linterp(0,atmos_h,atmos_rho)*((H34*linterp(0,atmos_h,atmos_aspeed))^2)*37.8)/900),0)</f>
        <v>6</v>
      </c>
      <c r="J34" cm="1">
        <f t="array" ref="J34">IF(H34&lt;$H$54,IF(-1*(1.35*0.5*linterp(0,atmos_h,atmos_rho)*((H34*linterp(0,atmos_h,atmos_aspeed))^2)*37.8)/900&lt;-1.5,-1.5,-1*(1.35*0.5*linterp(0,atmos_h,atmos_rho)*((H34*linterp(0,atmos_h,atmos_aspeed))^2)*37.8)/900),0)</f>
        <v>-1.5</v>
      </c>
      <c r="L34">
        <v>0.32</v>
      </c>
      <c r="M34" cm="1">
        <f t="array" ref="M34">IF(L34&lt;$F$41,IF((1.35*0.5*linterp(10000,atmos_h,atmos_rho)*((L34*linterp(10000,atmos_h,atmos_aspeed))^2)*37.8)/900&gt;6,6,(1.35*0.5*linterp(10000,atmos_h,atmos_rho)*((L34*linterp(10000,atmos_h,atmos_aspeed))^2)*37.8)/900),0)</f>
        <v>5.9131267579478077</v>
      </c>
      <c r="N34" cm="1">
        <f t="array" ref="N34">IF(L34&lt;$F$41,IF(-1*(1.35*0.5*linterp(10000,atmos_h,atmos_rho)*((L34*linterp(10000,atmos_h,atmos_aspeed))^2)*37.8)/900&lt;-1.5,-1.5,-1*(1.35*0.5*linterp(10000,atmos_h,atmos_rho)*((L34*linterp(10000,atmos_h,atmos_aspeed))^2)*37.8)/900),0)</f>
        <v>-1.5</v>
      </c>
    </row>
    <row r="35" spans="1:14" x14ac:dyDescent="0.25">
      <c r="A35">
        <v>8500</v>
      </c>
      <c r="B35" s="1" cm="1">
        <f t="array" ref="B35">C35/linterp(A35,atmos_h,atmos_vela)</f>
        <v>0.21571818362185338</v>
      </c>
      <c r="C35" s="2" cm="1">
        <f t="array" ref="C35">SQRT((2/linterp(A35,atmos_h,atmos_rho))*(900/37.8)*(1/1.35))</f>
        <v>138.45763756676848</v>
      </c>
      <c r="D35">
        <v>0.55000000000000004</v>
      </c>
      <c r="E35" cm="1">
        <f t="array" ref="E35">260/linterp(A35,atmos_h,atmos_sqrtdr)</f>
        <v>295.50491561061546</v>
      </c>
      <c r="F35" s="1" cm="1">
        <f t="array" ref="F35">IF(E35/linterp(A35,atmos_h,atmos_vela)&gt;D35,D35,E35/linterp(A35,atmos_h,atmos_vela))</f>
        <v>0.46039918611287062</v>
      </c>
      <c r="H35">
        <v>0.33</v>
      </c>
      <c r="I35" cm="1">
        <f t="array" ref="I35">IF(H35&lt;$H$54,IF((1.35*0.5*linterp(0,atmos_h,atmos_rho)*((H35*linterp(0,atmos_h,atmos_aspeed))^2)*37.8)/900&gt;6,6,(1.35*0.5*linterp(0,atmos_h,atmos_rho)*((H35*linterp(0,atmos_h,atmos_aspeed))^2)*37.8)/900),0)</f>
        <v>6</v>
      </c>
      <c r="J35" cm="1">
        <f t="array" ref="J35">IF(H35&lt;$H$54,IF(-1*(1.35*0.5*linterp(0,atmos_h,atmos_rho)*((H35*linterp(0,atmos_h,atmos_aspeed))^2)*37.8)/900&lt;-1.5,-1.5,-1*(1.35*0.5*linterp(0,atmos_h,atmos_rho)*((H35*linterp(0,atmos_h,atmos_aspeed))^2)*37.8)/900),0)</f>
        <v>-1.5</v>
      </c>
      <c r="L35">
        <v>0.33</v>
      </c>
      <c r="M35" cm="1">
        <f t="array" ref="M35">IF(L35&lt;$F$41,IF((1.35*0.5*linterp(10000,atmos_h,atmos_rho)*((L35*linterp(10000,atmos_h,atmos_aspeed))^2)*37.8)/900&gt;6,6,(1.35*0.5*linterp(10000,atmos_h,atmos_rho)*((L35*linterp(10000,atmos_h,atmos_aspeed))^2)*37.8)/900),0)</f>
        <v>6</v>
      </c>
      <c r="N35" cm="1">
        <f t="array" ref="N35">IF(L35&lt;$F$41,IF(-1*(1.35*0.5*linterp(10000,atmos_h,atmos_rho)*((L35*linterp(10000,atmos_h,atmos_aspeed))^2)*37.8)/900&lt;-1.5,-1.5,-1*(1.35*0.5*linterp(10000,atmos_h,atmos_rho)*((L35*linterp(10000,atmos_h,atmos_aspeed))^2)*37.8)/900),0)</f>
        <v>-1.5</v>
      </c>
    </row>
    <row r="36" spans="1:14" x14ac:dyDescent="0.25">
      <c r="A36">
        <v>8750</v>
      </c>
      <c r="B36" s="1" cm="1">
        <f t="array" ref="B36">C36/linterp(A36,atmos_h,atmos_vela)</f>
        <v>0.21677897496513054</v>
      </c>
      <c r="C36" s="2" cm="1">
        <f t="array" ref="C36">SQRT((2/linterp(A36,atmos_h,atmos_rho))*(900/37.8)*(1/1.35))</f>
        <v>139.01005964382736</v>
      </c>
      <c r="D36">
        <v>0.55000000000000004</v>
      </c>
      <c r="E36" cm="1">
        <f t="array" ref="E36">260/linterp(A36,atmos_h,atmos_sqrtdr)</f>
        <v>296.6766509770361</v>
      </c>
      <c r="F36" s="1" cm="1">
        <f t="array" ref="F36">IF(E36/linterp(A36,atmos_h,atmos_vela)&gt;D36,D36,E36/linterp(A36,atmos_h,atmos_vela))</f>
        <v>0.46265184303692558</v>
      </c>
      <c r="H36">
        <v>0.34</v>
      </c>
      <c r="I36" cm="1">
        <f t="array" ref="I36">IF(H36&lt;$H$54,IF((1.35*0.5*linterp(0,atmos_h,atmos_rho)*((H36*linterp(0,atmos_h,atmos_aspeed))^2)*37.8)/900&gt;6,6,(1.35*0.5*linterp(0,atmos_h,atmos_rho)*((H36*linterp(0,atmos_h,atmos_aspeed))^2)*37.8)/900),0)</f>
        <v>6</v>
      </c>
      <c r="J36" cm="1">
        <f t="array" ref="J36">IF(H36&lt;$H$54,IF(-1*(1.35*0.5*linterp(0,atmos_h,atmos_rho)*((H36*linterp(0,atmos_h,atmos_aspeed))^2)*37.8)/900&lt;-1.5,-1.5,-1*(1.35*0.5*linterp(0,atmos_h,atmos_rho)*((H36*linterp(0,atmos_h,atmos_aspeed))^2)*37.8)/900),0)</f>
        <v>-1.5</v>
      </c>
      <c r="L36">
        <v>0.34</v>
      </c>
      <c r="M36" cm="1">
        <f t="array" ref="M36">IF(L36&lt;$F$41,IF((1.35*0.5*linterp(10000,atmos_h,atmos_rho)*((L36*linterp(10000,atmos_h,atmos_aspeed))^2)*37.8)/900&gt;6,6,(1.35*0.5*linterp(10000,atmos_h,atmos_rho)*((L36*linterp(10000,atmos_h,atmos_aspeed))^2)*37.8)/900),0)</f>
        <v>6</v>
      </c>
      <c r="N36" cm="1">
        <f t="array" ref="N36">IF(L36&lt;$F$41,IF(-1*(1.35*0.5*linterp(10000,atmos_h,atmos_rho)*((L36*linterp(10000,atmos_h,atmos_aspeed))^2)*37.8)/900&lt;-1.5,-1.5,-1*(1.35*0.5*linterp(10000,atmos_h,atmos_rho)*((L36*linterp(10000,atmos_h,atmos_aspeed))^2)*37.8)/900),0)</f>
        <v>-1.5</v>
      </c>
    </row>
    <row r="37" spans="1:14" x14ac:dyDescent="0.25">
      <c r="A37">
        <v>9000</v>
      </c>
      <c r="B37" s="1" cm="1">
        <f t="array" ref="B37">C37/linterp(A37,atmos_h,atmos_vela)</f>
        <v>0.21785213238320925</v>
      </c>
      <c r="C37" s="2" cm="1">
        <f t="array" ref="C37">SQRT((2/linterp(A37,atmos_h,atmos_rho))*(900/37.8)*(1/1.35))</f>
        <v>139.56914713262682</v>
      </c>
      <c r="D37">
        <v>0.55000000000000004</v>
      </c>
      <c r="E37" cm="1">
        <f t="array" ref="E37">260/linterp(A37,atmos_h,atmos_sqrtdr)</f>
        <v>297.85771566044218</v>
      </c>
      <c r="F37" s="1" cm="1">
        <f t="array" ref="F37">IF(E37/linterp(A37,atmos_h,atmos_vela)&gt;D37,D37,E37/linterp(A37,atmos_h,atmos_vela))</f>
        <v>0.46492322863990604</v>
      </c>
      <c r="H37">
        <v>0.35</v>
      </c>
      <c r="I37" cm="1">
        <f t="array" ref="I37">IF(H37&lt;$H$54,IF((1.35*0.5*linterp(0,atmos_h,atmos_rho)*((H37*linterp(0,atmos_h,atmos_aspeed))^2)*37.8)/900&gt;6,6,(1.35*0.5*linterp(0,atmos_h,atmos_rho)*((H37*linterp(0,atmos_h,atmos_aspeed))^2)*37.8)/900),0)</f>
        <v>6</v>
      </c>
      <c r="J37" cm="1">
        <f t="array" ref="J37">IF(H37&lt;$H$54,IF(-1*(1.35*0.5*linterp(0,atmos_h,atmos_rho)*((H37*linterp(0,atmos_h,atmos_aspeed))^2)*37.8)/900&lt;-1.5,-1.5,-1*(1.35*0.5*linterp(0,atmos_h,atmos_rho)*((H37*linterp(0,atmos_h,atmos_aspeed))^2)*37.8)/900),0)</f>
        <v>-1.5</v>
      </c>
      <c r="L37">
        <v>0.35</v>
      </c>
      <c r="M37" cm="1">
        <f t="array" ref="M37">IF(L37&lt;$F$41,IF((1.35*0.5*linterp(10000,atmos_h,atmos_rho)*((L37*linterp(10000,atmos_h,atmos_aspeed))^2)*37.8)/900&gt;6,6,(1.35*0.5*linterp(10000,atmos_h,atmos_rho)*((L37*linterp(10000,atmos_h,atmos_aspeed))^2)*37.8)/900),0)</f>
        <v>6</v>
      </c>
      <c r="N37" cm="1">
        <f t="array" ref="N37">IF(L37&lt;$F$41,IF(-1*(1.35*0.5*linterp(10000,atmos_h,atmos_rho)*((L37*linterp(10000,atmos_h,atmos_aspeed))^2)*37.8)/900&lt;-1.5,-1.5,-1*(1.35*0.5*linterp(10000,atmos_h,atmos_rho)*((L37*linterp(10000,atmos_h,atmos_aspeed))^2)*37.8)/900),0)</f>
        <v>-1.5</v>
      </c>
    </row>
    <row r="38" spans="1:14" x14ac:dyDescent="0.25">
      <c r="A38">
        <v>9250</v>
      </c>
      <c r="B38" s="1" cm="1">
        <f t="array" ref="B38">C38/linterp(A38,atmos_h,atmos_vela)</f>
        <v>0.21890058211410099</v>
      </c>
      <c r="C38" s="2" cm="1">
        <f t="array" ref="C38">SQRT((2/linterp(A38,atmos_h,atmos_rho))*(900/37.8)*(1/1.35))</f>
        <v>140.11114834231734</v>
      </c>
      <c r="D38">
        <v>0.55000000000000004</v>
      </c>
      <c r="E38" cm="1">
        <f t="array" ref="E38">260/linterp(A38,atmos_h,atmos_sqrtdr)</f>
        <v>299.03102446878864</v>
      </c>
      <c r="F38" s="1" cm="1">
        <f t="array" ref="F38">IF(E38/linterp(A38,atmos_h,atmos_vela)&gt;D38,D38,E38/linterp(A38,atmos_h,atmos_vela))</f>
        <v>0.46718670213499147</v>
      </c>
      <c r="H38">
        <v>0.36</v>
      </c>
      <c r="I38" cm="1">
        <f t="array" ref="I38">IF(H38&lt;$H$54,IF((1.35*0.5*linterp(0,atmos_h,atmos_rho)*((H38*linterp(0,atmos_h,atmos_aspeed))^2)*37.8)/900&gt;6,6,(1.35*0.5*linterp(0,atmos_h,atmos_rho)*((H38*linterp(0,atmos_h,atmos_aspeed))^2)*37.8)/900),0)</f>
        <v>6</v>
      </c>
      <c r="J38" cm="1">
        <f t="array" ref="J38">IF(H38&lt;$H$54,IF(-1*(1.35*0.5*linterp(0,atmos_h,atmos_rho)*((H38*linterp(0,atmos_h,atmos_aspeed))^2)*37.8)/900&lt;-1.5,-1.5,-1*(1.35*0.5*linterp(0,atmos_h,atmos_rho)*((H38*linterp(0,atmos_h,atmos_aspeed))^2)*37.8)/900),0)</f>
        <v>-1.5</v>
      </c>
      <c r="L38">
        <v>0.36</v>
      </c>
      <c r="M38" cm="1">
        <f t="array" ref="M38">IF(L38&lt;$F$41,IF((1.35*0.5*linterp(10000,atmos_h,atmos_rho)*((L38*linterp(10000,atmos_h,atmos_aspeed))^2)*37.8)/900&gt;6,6,(1.35*0.5*linterp(10000,atmos_h,atmos_rho)*((L38*linterp(10000,atmos_h,atmos_aspeed))^2)*37.8)/900),0)</f>
        <v>6</v>
      </c>
      <c r="N38" cm="1">
        <f t="array" ref="N38">IF(L38&lt;$F$41,IF(-1*(1.35*0.5*linterp(10000,atmos_h,atmos_rho)*((L38*linterp(10000,atmos_h,atmos_aspeed))^2)*37.8)/900&lt;-1.5,-1.5,-1*(1.35*0.5*linterp(10000,atmos_h,atmos_rho)*((L38*linterp(10000,atmos_h,atmos_aspeed))^2)*37.8)/900),0)</f>
        <v>-1.5</v>
      </c>
    </row>
    <row r="39" spans="1:14" x14ac:dyDescent="0.25">
      <c r="A39">
        <v>9500</v>
      </c>
      <c r="B39" s="1" cm="1">
        <f t="array" ref="B39">C39/linterp(A39,atmos_h,atmos_vela)</f>
        <v>0.21996092638236936</v>
      </c>
      <c r="C39" s="2" cm="1">
        <f t="array" ref="C39">SQRT((2/linterp(A39,atmos_h,atmos_rho))*(900/37.8)*(1/1.35))</f>
        <v>140.65951339836562</v>
      </c>
      <c r="D39">
        <v>0.55000000000000004</v>
      </c>
      <c r="E39" cm="1">
        <f t="array" ref="E39">260/linterp(A39,atmos_h,atmos_sqrtdr)</f>
        <v>300.21361353270595</v>
      </c>
      <c r="F39" s="1" cm="1">
        <f t="array" ref="F39">IF(E39/linterp(A39,atmos_h,atmos_vela)&gt;D39,D39,E39/linterp(A39,atmos_h,atmos_vela))</f>
        <v>0.46946888233739553</v>
      </c>
      <c r="H39">
        <v>0.37</v>
      </c>
      <c r="I39" cm="1">
        <f t="array" ref="I39">IF(H39&lt;$H$54,IF((1.35*0.5*linterp(0,atmos_h,atmos_rho)*((H39*linterp(0,atmos_h,atmos_aspeed))^2)*37.8)/900&gt;6,6,(1.35*0.5*linterp(0,atmos_h,atmos_rho)*((H39*linterp(0,atmos_h,atmos_aspeed))^2)*37.8)/900),0)</f>
        <v>6</v>
      </c>
      <c r="J39" cm="1">
        <f t="array" ref="J39">IF(H39&lt;$H$54,IF(-1*(1.35*0.5*linterp(0,atmos_h,atmos_rho)*((H39*linterp(0,atmos_h,atmos_aspeed))^2)*37.8)/900&lt;-1.5,-1.5,-1*(1.35*0.5*linterp(0,atmos_h,atmos_rho)*((H39*linterp(0,atmos_h,atmos_aspeed))^2)*37.8)/900),0)</f>
        <v>-1.5</v>
      </c>
      <c r="L39">
        <v>0.37</v>
      </c>
      <c r="M39" cm="1">
        <f t="array" ref="M39">IF(L39&lt;$F$41,IF((1.35*0.5*linterp(10000,atmos_h,atmos_rho)*((L39*linterp(10000,atmos_h,atmos_aspeed))^2)*37.8)/900&gt;6,6,(1.35*0.5*linterp(10000,atmos_h,atmos_rho)*((L39*linterp(10000,atmos_h,atmos_aspeed))^2)*37.8)/900),0)</f>
        <v>6</v>
      </c>
      <c r="N39" cm="1">
        <f t="array" ref="N39">IF(L39&lt;$F$41,IF(-1*(1.35*0.5*linterp(10000,atmos_h,atmos_rho)*((L39*linterp(10000,atmos_h,atmos_aspeed))^2)*37.8)/900&lt;-1.5,-1.5,-1*(1.35*0.5*linterp(10000,atmos_h,atmos_rho)*((L39*linterp(10000,atmos_h,atmos_aspeed))^2)*37.8)/900),0)</f>
        <v>-1.5</v>
      </c>
    </row>
    <row r="40" spans="1:14" x14ac:dyDescent="0.25">
      <c r="A40">
        <v>9750</v>
      </c>
      <c r="B40" s="1" cm="1">
        <f t="array" ref="B40">C40/linterp(A40,atmos_h,atmos_vela)</f>
        <v>0.22103339474405428</v>
      </c>
      <c r="C40" s="2" cm="1">
        <f t="array" ref="C40">SQRT((2/linterp(A40,atmos_h,atmos_rho))*(900/37.8)*(1/1.35))</f>
        <v>141.21436781756825</v>
      </c>
      <c r="D40">
        <v>0.55000000000000004</v>
      </c>
      <c r="E40" cm="1">
        <f t="array" ref="E40">260/linterp(A40,atmos_h,atmos_sqrtdr)</f>
        <v>301.40559339226201</v>
      </c>
      <c r="F40" s="1" cm="1">
        <f t="array" ref="F40">IF(E40/linterp(A40,atmos_h,atmos_vela)&gt;D40,D40,E40/linterp(A40,atmos_h,atmos_vela))</f>
        <v>0.47176999431391847</v>
      </c>
      <c r="H40">
        <v>0.38</v>
      </c>
      <c r="I40" cm="1">
        <f t="array" ref="I40">IF(H40&lt;$H$54,IF((1.35*0.5*linterp(0,atmos_h,atmos_rho)*((H40*linterp(0,atmos_h,atmos_aspeed))^2)*37.8)/900&gt;6,6,(1.35*0.5*linterp(0,atmos_h,atmos_rho)*((H40*linterp(0,atmos_h,atmos_aspeed))^2)*37.8)/900),0)</f>
        <v>6</v>
      </c>
      <c r="J40" cm="1">
        <f t="array" ref="J40">IF(H40&lt;$H$54,IF(-1*(1.35*0.5*linterp(0,atmos_h,atmos_rho)*((H40*linterp(0,atmos_h,atmos_aspeed))^2)*37.8)/900&lt;-1.5,-1.5,-1*(1.35*0.5*linterp(0,atmos_h,atmos_rho)*((H40*linterp(0,atmos_h,atmos_aspeed))^2)*37.8)/900),0)</f>
        <v>-1.5</v>
      </c>
      <c r="L40">
        <v>0.38</v>
      </c>
      <c r="M40" cm="1">
        <f t="array" ref="M40">IF(L40&lt;$F$41,IF((1.35*0.5*linterp(10000,atmos_h,atmos_rho)*((L40*linterp(10000,atmos_h,atmos_aspeed))^2)*37.8)/900&gt;6,6,(1.35*0.5*linterp(10000,atmos_h,atmos_rho)*((L40*linterp(10000,atmos_h,atmos_aspeed))^2)*37.8)/900),0)</f>
        <v>6</v>
      </c>
      <c r="N40" cm="1">
        <f t="array" ref="N40">IF(L40&lt;$F$41,IF(-1*(1.35*0.5*linterp(10000,atmos_h,atmos_rho)*((L40*linterp(10000,atmos_h,atmos_aspeed))^2)*37.8)/900&lt;-1.5,-1.5,-1*(1.35*0.5*linterp(10000,atmos_h,atmos_rho)*((L40*linterp(10000,atmos_h,atmos_aspeed))^2)*37.8)/900),0)</f>
        <v>-1.5</v>
      </c>
    </row>
    <row r="41" spans="1:14" x14ac:dyDescent="0.25">
      <c r="A41">
        <v>10000</v>
      </c>
      <c r="B41" s="1" cm="1">
        <f t="array" ref="B41">C41/linterp(A41,atmos_h,atmos_vela)</f>
        <v>0.22211822308066881</v>
      </c>
      <c r="C41" s="2" cm="1">
        <f t="array" ref="C41">SQRT((2/linterp(A41,atmos_h,atmos_rho))*(900/37.8)*(1/1.35))</f>
        <v>141.77584061016009</v>
      </c>
      <c r="D41">
        <v>0.55000000000000004</v>
      </c>
      <c r="E41" cm="1">
        <f t="array" ref="E41">260/linterp(A41,atmos_h,atmos_sqrtdr)</f>
        <v>302.60707635009311</v>
      </c>
      <c r="F41" s="1" cm="1">
        <f t="array" ref="F41">IF(E41/linterp(A41,atmos_h,atmos_vela)&gt;D41,D41,E41/linterp(A41,atmos_h,atmos_vela))</f>
        <v>0.47409026672843557</v>
      </c>
      <c r="H41">
        <v>0.39</v>
      </c>
      <c r="I41" cm="1">
        <f t="array" ref="I41">IF(H41&lt;$H$54,IF((1.35*0.5*linterp(0,atmos_h,atmos_rho)*((H41*linterp(0,atmos_h,atmos_aspeed))^2)*37.8)/900&gt;6,6,(1.35*0.5*linterp(0,atmos_h,atmos_rho)*((H41*linterp(0,atmos_h,atmos_aspeed))^2)*37.8)/900),0)</f>
        <v>6</v>
      </c>
      <c r="J41" cm="1">
        <f t="array" ref="J41">IF(H41&lt;$H$54,IF(-1*(1.35*0.5*linterp(0,atmos_h,atmos_rho)*((H41*linterp(0,atmos_h,atmos_aspeed))^2)*37.8)/900&lt;-1.5,-1.5,-1*(1.35*0.5*linterp(0,atmos_h,atmos_rho)*((H41*linterp(0,atmos_h,atmos_aspeed))^2)*37.8)/900),0)</f>
        <v>-1.5</v>
      </c>
      <c r="L41">
        <v>0.39</v>
      </c>
      <c r="M41" cm="1">
        <f t="array" ref="M41">IF(L41&lt;$F$41,IF((1.35*0.5*linterp(10000,atmos_h,atmos_rho)*((L41*linterp(10000,atmos_h,atmos_aspeed))^2)*37.8)/900&gt;6,6,(1.35*0.5*linterp(10000,atmos_h,atmos_rho)*((L41*linterp(10000,atmos_h,atmos_aspeed))^2)*37.8)/900),0)</f>
        <v>6</v>
      </c>
      <c r="N41" cm="1">
        <f t="array" ref="N41">IF(L41&lt;$F$41,IF(-1*(1.35*0.5*linterp(10000,atmos_h,atmos_rho)*((L41*linterp(10000,atmos_h,atmos_aspeed))^2)*37.8)/900&lt;-1.5,-1.5,-1*(1.35*0.5*linterp(10000,atmos_h,atmos_rho)*((L41*linterp(10000,atmos_h,atmos_aspeed))^2)*37.8)/900),0)</f>
        <v>-1.5</v>
      </c>
    </row>
    <row r="42" spans="1:14" x14ac:dyDescent="0.25">
      <c r="A42">
        <v>10250</v>
      </c>
      <c r="B42" s="1" cm="1">
        <f t="array" ref="B42">C42/linterp(A42,atmos_h,atmos_vela)</f>
        <v>0.22318099322723572</v>
      </c>
      <c r="C42" s="2" cm="1">
        <f t="array" ref="C42">SQRT((2/linterp(A42,atmos_h,atmos_rho))*(900/37.8)*(1/1.35))</f>
        <v>142.3247511909405</v>
      </c>
      <c r="D42">
        <v>0.55000000000000004</v>
      </c>
      <c r="E42" cm="1">
        <f t="array" ref="E42">260/linterp(A42,atmos_h,atmos_sqrtdr)</f>
        <v>303.78267854534835</v>
      </c>
      <c r="F42" s="1" cm="1">
        <f t="array" ref="F42">IF(E42/linterp(A42,atmos_h,atmos_vela)&gt;D42,D42,E42/linterp(A42,atmos_h,atmos_vela))</f>
        <v>0.47636492848684875</v>
      </c>
      <c r="H42">
        <v>0.4</v>
      </c>
      <c r="I42" cm="1">
        <f t="array" ref="I42">IF(H42&lt;$H$54,IF((1.35*0.5*linterp(0,atmos_h,atmos_rho)*((H42*linterp(0,atmos_h,atmos_aspeed))^2)*37.8)/900&gt;6,6,(1.35*0.5*linterp(0,atmos_h,atmos_rho)*((H42*linterp(0,atmos_h,atmos_aspeed))^2)*37.8)/900),0)</f>
        <v>0</v>
      </c>
      <c r="J42" cm="1">
        <f t="array" ref="J42">IF(H42&lt;$H$54,IF(-1*(1.35*0.5*linterp(0,atmos_h,atmos_rho)*((H42*linterp(0,atmos_h,atmos_aspeed))^2)*37.8)/900&lt;-1.5,-1.5,-1*(1.35*0.5*linterp(0,atmos_h,atmos_rho)*((H42*linterp(0,atmos_h,atmos_aspeed))^2)*37.8)/900),0)</f>
        <v>0</v>
      </c>
      <c r="L42">
        <v>0.4</v>
      </c>
      <c r="M42" cm="1">
        <f t="array" ref="M42">IF(L42&lt;$F$41,IF((1.35*0.5*linterp(10000,atmos_h,atmos_rho)*((L42*linterp(10000,atmos_h,atmos_aspeed))^2)*37.8)/900&gt;6,6,(1.35*0.5*linterp(10000,atmos_h,atmos_rho)*((L42*linterp(10000,atmos_h,atmos_aspeed))^2)*37.8)/900),0)</f>
        <v>6</v>
      </c>
      <c r="N42" cm="1">
        <f t="array" ref="N42">IF(L42&lt;$F$41,IF(-1*(1.35*0.5*linterp(10000,atmos_h,atmos_rho)*((L42*linterp(10000,atmos_h,atmos_aspeed))^2)*37.8)/900&lt;-1.5,-1.5,-1*(1.35*0.5*linterp(10000,atmos_h,atmos_rho)*((L42*linterp(10000,atmos_h,atmos_aspeed))^2)*37.8)/900),0)</f>
        <v>-1.5</v>
      </c>
    </row>
    <row r="43" spans="1:14" x14ac:dyDescent="0.25">
      <c r="A43">
        <v>10500</v>
      </c>
      <c r="B43" s="1" cm="1">
        <f t="array" ref="B43">C43/linterp(A43,atmos_h,atmos_vela)</f>
        <v>0.22425578321394377</v>
      </c>
      <c r="C43" s="2" cm="1">
        <f t="array" ref="C43">SQRT((2/linterp(A43,atmos_h,atmos_rho))*(900/37.8)*(1/1.35))</f>
        <v>142.88008715909999</v>
      </c>
      <c r="D43">
        <v>0.55000000000000004</v>
      </c>
      <c r="E43" cm="1">
        <f t="array" ref="E43">260/linterp(A43,atmos_h,atmos_sqrtdr)</f>
        <v>304.96745058940826</v>
      </c>
      <c r="F43" s="1" cm="1">
        <f t="array" ref="F43">IF(E43/linterp(A43,atmos_h,atmos_vela)&gt;D43,D43,E43/linterp(A43,atmos_h,atmos_vela))</f>
        <v>0.47865812407108166</v>
      </c>
      <c r="H43">
        <v>0.41</v>
      </c>
      <c r="I43" cm="1">
        <f t="array" ref="I43">IF(H43&lt;$H$54,IF((1.35*0.5*linterp(0,atmos_h,atmos_rho)*((H43*linterp(0,atmos_h,atmos_aspeed))^2)*37.8)/900&gt;6,6,(1.35*0.5*linterp(0,atmos_h,atmos_rho)*((H43*linterp(0,atmos_h,atmos_aspeed))^2)*37.8)/900),0)</f>
        <v>0</v>
      </c>
      <c r="J43" cm="1">
        <f t="array" ref="J43">IF(H43&lt;$H$54,IF(-1*(1.35*0.5*linterp(0,atmos_h,atmos_rho)*((H43*linterp(0,atmos_h,atmos_aspeed))^2)*37.8)/900&lt;-1.5,-1.5,-1*(1.35*0.5*linterp(0,atmos_h,atmos_rho)*((H43*linterp(0,atmos_h,atmos_aspeed))^2)*37.8)/900),0)</f>
        <v>0</v>
      </c>
      <c r="L43">
        <v>0.41</v>
      </c>
      <c r="M43" cm="1">
        <f t="array" ref="M43">IF(L43&lt;$F$41,IF((1.35*0.5*linterp(10000,atmos_h,atmos_rho)*((L43*linterp(10000,atmos_h,atmos_aspeed))^2)*37.8)/900&gt;6,6,(1.35*0.5*linterp(10000,atmos_h,atmos_rho)*((L43*linterp(10000,atmos_h,atmos_aspeed))^2)*37.8)/900),0)</f>
        <v>6</v>
      </c>
      <c r="N43" cm="1">
        <f t="array" ref="N43">IF(L43&lt;$F$41,IF(-1*(1.35*0.5*linterp(10000,atmos_h,atmos_rho)*((L43*linterp(10000,atmos_h,atmos_aspeed))^2)*37.8)/900&lt;-1.5,-1.5,-1*(1.35*0.5*linterp(10000,atmos_h,atmos_rho)*((L43*linterp(10000,atmos_h,atmos_aspeed))^2)*37.8)/900),0)</f>
        <v>-1.5</v>
      </c>
    </row>
    <row r="44" spans="1:14" x14ac:dyDescent="0.25">
      <c r="A44">
        <v>10750</v>
      </c>
      <c r="B44" s="1" cm="1">
        <f t="array" ref="B44">C44/linterp(A44,atmos_h,atmos_vela)</f>
        <v>0.22534282437687894</v>
      </c>
      <c r="C44" s="2" cm="1">
        <f t="array" ref="C44">SQRT((2/linterp(A44,atmos_h,atmos_rho))*(900/37.8)*(1/1.35))</f>
        <v>143.44197485710228</v>
      </c>
      <c r="D44">
        <v>0.55000000000000004</v>
      </c>
      <c r="E44" cm="1">
        <f t="array" ref="E44">260/linterp(A44,atmos_h,atmos_sqrtdr)</f>
        <v>306.16150019135091</v>
      </c>
      <c r="F44" s="1" cm="1">
        <f t="array" ref="F44">IF(E44/linterp(A44,atmos_h,atmos_vela)&gt;D44,D44,E44/linterp(A44,atmos_h,atmos_vela))</f>
        <v>0.48097007335064162</v>
      </c>
      <c r="H44">
        <v>0.42</v>
      </c>
      <c r="I44" cm="1">
        <f t="array" ref="I44">IF(H44&lt;$H$54,IF((1.35*0.5*linterp(0,atmos_h,atmos_rho)*((H44*linterp(0,atmos_h,atmos_aspeed))^2)*37.8)/900&gt;6,6,(1.35*0.5*linterp(0,atmos_h,atmos_rho)*((H44*linterp(0,atmos_h,atmos_aspeed))^2)*37.8)/900),0)</f>
        <v>0</v>
      </c>
      <c r="J44" cm="1">
        <f t="array" ref="J44">IF(H44&lt;$H$54,IF(-1*(1.35*0.5*linterp(0,atmos_h,atmos_rho)*((H44*linterp(0,atmos_h,atmos_aspeed))^2)*37.8)/900&lt;-1.5,-1.5,-1*(1.35*0.5*linterp(0,atmos_h,atmos_rho)*((H44*linterp(0,atmos_h,atmos_aspeed))^2)*37.8)/900),0)</f>
        <v>0</v>
      </c>
      <c r="L44">
        <v>0.42</v>
      </c>
      <c r="M44" cm="1">
        <f t="array" ref="M44">IF(L44&lt;$F$41,IF((1.35*0.5*linterp(10000,atmos_h,atmos_rho)*((L44*linterp(10000,atmos_h,atmos_aspeed))^2)*37.8)/900&gt;6,6,(1.35*0.5*linterp(10000,atmos_h,atmos_rho)*((L44*linterp(10000,atmos_h,atmos_aspeed))^2)*37.8)/900),0)</f>
        <v>6</v>
      </c>
      <c r="N44" cm="1">
        <f t="array" ref="N44">IF(L44&lt;$F$41,IF(-1*(1.35*0.5*linterp(10000,atmos_h,atmos_rho)*((L44*linterp(10000,atmos_h,atmos_aspeed))^2)*37.8)/900&lt;-1.5,-1.5,-1*(1.35*0.5*linterp(10000,atmos_h,atmos_rho)*((L44*linterp(10000,atmos_h,atmos_aspeed))^2)*37.8)/900),0)</f>
        <v>-1.5</v>
      </c>
    </row>
    <row r="45" spans="1:14" x14ac:dyDescent="0.25">
      <c r="A45">
        <v>11000</v>
      </c>
      <c r="B45" s="1" cm="1">
        <f t="array" ref="B45">C45/linterp(A45,atmos_h,atmos_vela)</f>
        <v>0.22644235440818719</v>
      </c>
      <c r="C45" s="2" cm="1">
        <f t="array" ref="C45">SQRT((2/linterp(A45,atmos_h,atmos_rho))*(900/37.8)*(1/1.35))</f>
        <v>144.01054413297481</v>
      </c>
      <c r="D45">
        <v>0.55000000000000004</v>
      </c>
      <c r="E45" cm="1">
        <f t="array" ref="E45">260/linterp(A45,atmos_h,atmos_sqrtdr)</f>
        <v>307.3649367537534</v>
      </c>
      <c r="F45" s="1" cm="1">
        <f t="array" ref="F45">IF(E45/linterp(A45,atmos_h,atmos_vela)&gt;D45,D45,E45/linterp(A45,atmos_h,atmos_vela))</f>
        <v>0.48330099965997358</v>
      </c>
      <c r="H45">
        <v>0.43</v>
      </c>
      <c r="I45" cm="1">
        <f t="array" ref="I45">IF(H45&lt;$H$54,IF((1.35*0.5*linterp(0,atmos_h,atmos_rho)*((H45*linterp(0,atmos_h,atmos_aspeed))^2)*37.8)/900&gt;6,6,(1.35*0.5*linterp(0,atmos_h,atmos_rho)*((H45*linterp(0,atmos_h,atmos_aspeed))^2)*37.8)/900),0)</f>
        <v>0</v>
      </c>
      <c r="J45" cm="1">
        <f t="array" ref="J45">IF(H45&lt;$H$54,IF(-1*(1.35*0.5*linterp(0,atmos_h,atmos_rho)*((H45*linterp(0,atmos_h,atmos_aspeed))^2)*37.8)/900&lt;-1.5,-1.5,-1*(1.35*0.5*linterp(0,atmos_h,atmos_rho)*((H45*linterp(0,atmos_h,atmos_aspeed))^2)*37.8)/900),0)</f>
        <v>0</v>
      </c>
      <c r="L45">
        <v>0.43</v>
      </c>
      <c r="M45" cm="1">
        <f t="array" ref="M45">IF(L45&lt;$F$41,IF((1.35*0.5*linterp(10000,atmos_h,atmos_rho)*((L45*linterp(10000,atmos_h,atmos_aspeed))^2)*37.8)/900&gt;6,6,(1.35*0.5*linterp(10000,atmos_h,atmos_rho)*((L45*linterp(10000,atmos_h,atmos_aspeed))^2)*37.8)/900),0)</f>
        <v>6</v>
      </c>
      <c r="N45" cm="1">
        <f t="array" ref="N45">IF(L45&lt;$F$41,IF(-1*(1.35*0.5*linterp(10000,atmos_h,atmos_rho)*((L45*linterp(10000,atmos_h,atmos_aspeed))^2)*37.8)/900&lt;-1.5,-1.5,-1*(1.35*0.5*linterp(10000,atmos_h,atmos_rho)*((L45*linterp(10000,atmos_h,atmos_aspeed))^2)*37.8)/900),0)</f>
        <v>-1.5</v>
      </c>
    </row>
    <row r="46" spans="1:14" x14ac:dyDescent="0.25">
      <c r="A46">
        <v>11250</v>
      </c>
      <c r="B46" s="1" cm="1">
        <f t="array" ref="B46">C46/linterp(A46,atmos_h,atmos_vela)</f>
        <v>0.22754655692949</v>
      </c>
      <c r="C46" s="2" cm="1">
        <f t="array" ref="C46">SQRT((2/linterp(A46,atmos_h,atmos_rho))*(900/37.8)*(1/1.35))</f>
        <v>144.57682474268239</v>
      </c>
      <c r="D46">
        <v>0.55000000000000004</v>
      </c>
      <c r="E46" cm="1">
        <f t="array" ref="E46">260/linterp(A46,atmos_h,atmos_sqrtdr)</f>
        <v>308.57787140610628</v>
      </c>
      <c r="F46" s="1" cm="1">
        <f t="array" ref="F46">IF(E46/linterp(A46,atmos_h,atmos_vela)&gt;D46,D46,E46/linterp(A46,atmos_h,atmos_vela))</f>
        <v>0.48566450610642775</v>
      </c>
      <c r="H46">
        <v>0.44</v>
      </c>
      <c r="I46" cm="1">
        <f t="array" ref="I46">IF(H46&lt;$H$54,IF((1.35*0.5*linterp(0,atmos_h,atmos_rho)*((H46*linterp(0,atmos_h,atmos_aspeed))^2)*37.8)/900&gt;6,6,(1.35*0.5*linterp(0,atmos_h,atmos_rho)*((H46*linterp(0,atmos_h,atmos_aspeed))^2)*37.8)/900),0)</f>
        <v>0</v>
      </c>
      <c r="J46" cm="1">
        <f t="array" ref="J46">IF(H46&lt;$H$54,IF(-1*(1.35*0.5*linterp(0,atmos_h,atmos_rho)*((H46*linterp(0,atmos_h,atmos_aspeed))^2)*37.8)/900&lt;-1.5,-1.5,-1*(1.35*0.5*linterp(0,atmos_h,atmos_rho)*((H46*linterp(0,atmos_h,atmos_aspeed))^2)*37.8)/900),0)</f>
        <v>0</v>
      </c>
      <c r="L46">
        <v>0.44</v>
      </c>
      <c r="M46" cm="1">
        <f t="array" ref="M46">IF(L46&lt;$F$41,IF((1.35*0.5*linterp(10000,atmos_h,atmos_rho)*((L46*linterp(10000,atmos_h,atmos_aspeed))^2)*37.8)/900&gt;6,6,(1.35*0.5*linterp(10000,atmos_h,atmos_rho)*((L46*linterp(10000,atmos_h,atmos_aspeed))^2)*37.8)/900),0)</f>
        <v>6</v>
      </c>
      <c r="N46" cm="1">
        <f t="array" ref="N46">IF(L46&lt;$F$41,IF(-1*(1.35*0.5*linterp(10000,atmos_h,atmos_rho)*((L46*linterp(10000,atmos_h,atmos_aspeed))^2)*37.8)/900&lt;-1.5,-1.5,-1*(1.35*0.5*linterp(10000,atmos_h,atmos_rho)*((L46*linterp(10000,atmos_h,atmos_aspeed))^2)*37.8)/900),0)</f>
        <v>-1.5</v>
      </c>
    </row>
    <row r="47" spans="1:14" x14ac:dyDescent="0.25">
      <c r="A47">
        <v>11500</v>
      </c>
      <c r="B47" s="1" cm="1">
        <f t="array" ref="B47">C47/linterp(A47,atmos_h,atmos_vela)</f>
        <v>0.2286634453721211</v>
      </c>
      <c r="C47" s="2" cm="1">
        <f t="array" ref="C47">SQRT((2/linterp(A47,atmos_h,atmos_rho))*(900/37.8)*(1/1.35))</f>
        <v>145.1498385360882</v>
      </c>
      <c r="D47">
        <v>0.55000000000000004</v>
      </c>
      <c r="E47" cm="1">
        <f t="array" ref="E47">260/linterp(A47,atmos_h,atmos_sqrtdr)</f>
        <v>309.80041703902293</v>
      </c>
      <c r="F47" s="1" cm="1">
        <f t="array" ref="F47">IF(E47/linterp(A47,atmos_h,atmos_vela)&gt;D47,D47,E47/linterp(A47,atmos_h,atmos_vela))</f>
        <v>0.48804760275534304</v>
      </c>
      <c r="H47">
        <v>0.45</v>
      </c>
      <c r="I47" cm="1">
        <f t="array" ref="I47">IF(H47&lt;$H$54,IF((1.35*0.5*linterp(0,atmos_h,atmos_rho)*((H47*linterp(0,atmos_h,atmos_aspeed))^2)*37.8)/900&gt;6,6,(1.35*0.5*linterp(0,atmos_h,atmos_rho)*((H47*linterp(0,atmos_h,atmos_aspeed))^2)*37.8)/900),0)</f>
        <v>0</v>
      </c>
      <c r="J47" cm="1">
        <f t="array" ref="J47">IF(H47&lt;$H$54,IF(-1*(1.35*0.5*linterp(0,atmos_h,atmos_rho)*((H47*linterp(0,atmos_h,atmos_aspeed))^2)*37.8)/900&lt;-1.5,-1.5,-1*(1.35*0.5*linterp(0,atmos_h,atmos_rho)*((H47*linterp(0,atmos_h,atmos_aspeed))^2)*37.8)/900),0)</f>
        <v>0</v>
      </c>
      <c r="L47">
        <v>0.45</v>
      </c>
      <c r="M47" cm="1">
        <f t="array" ref="M47">IF(L47&lt;$F$41,IF((1.35*0.5*linterp(10000,atmos_h,atmos_rho)*((L47*linterp(10000,atmos_h,atmos_aspeed))^2)*37.8)/900&gt;6,6,(1.35*0.5*linterp(10000,atmos_h,atmos_rho)*((L47*linterp(10000,atmos_h,atmos_aspeed))^2)*37.8)/900),0)</f>
        <v>6</v>
      </c>
      <c r="N47" cm="1">
        <f t="array" ref="N47">IF(L47&lt;$F$41,IF(-1*(1.35*0.5*linterp(10000,atmos_h,atmos_rho)*((L47*linterp(10000,atmos_h,atmos_aspeed))^2)*37.8)/900&lt;-1.5,-1.5,-1*(1.35*0.5*linterp(10000,atmos_h,atmos_rho)*((L47*linterp(10000,atmos_h,atmos_aspeed))^2)*37.8)/900),0)</f>
        <v>-1.5</v>
      </c>
    </row>
    <row r="48" spans="1:14" x14ac:dyDescent="0.25">
      <c r="A48">
        <v>11750</v>
      </c>
      <c r="B48" s="1" cm="1">
        <f t="array" ref="B48">C48/linterp(A48,atmos_h,atmos_vela)</f>
        <v>0.229793267675164</v>
      </c>
      <c r="C48" s="2" cm="1">
        <f t="array" ref="C48">SQRT((2/linterp(A48,atmos_h,atmos_rho))*(900/37.8)*(1/1.35))</f>
        <v>145.72972001106632</v>
      </c>
      <c r="D48">
        <v>0.55000000000000004</v>
      </c>
      <c r="E48" cm="1">
        <f t="array" ref="E48">260/linterp(A48,atmos_h,atmos_sqrtdr)</f>
        <v>311.03268833926489</v>
      </c>
      <c r="F48" s="1" cm="1">
        <f t="array" ref="F48">IF(E48/linterp(A48,atmos_h,atmos_vela)&gt;D48,D48,E48/linterp(A48,atmos_h,atmos_vela))</f>
        <v>0.4904505258216586</v>
      </c>
      <c r="H48">
        <v>0.46</v>
      </c>
      <c r="I48" cm="1">
        <f t="array" ref="I48">IF(H48&lt;$H$54,IF((1.35*0.5*linterp(0,atmos_h,atmos_rho)*((H48*linterp(0,atmos_h,atmos_aspeed))^2)*37.8)/900&gt;6,6,(1.35*0.5*linterp(0,atmos_h,atmos_rho)*((H48*linterp(0,atmos_h,atmos_aspeed))^2)*37.8)/900),0)</f>
        <v>0</v>
      </c>
      <c r="J48" cm="1">
        <f t="array" ref="J48">IF(H48&lt;$H$54,IF(-1*(1.35*0.5*linterp(0,atmos_h,atmos_rho)*((H48*linterp(0,atmos_h,atmos_aspeed))^2)*37.8)/900&lt;-1.5,-1.5,-1*(1.35*0.5*linterp(0,atmos_h,atmos_rho)*((H48*linterp(0,atmos_h,atmos_aspeed))^2)*37.8)/900),0)</f>
        <v>0</v>
      </c>
      <c r="L48">
        <v>0.46</v>
      </c>
      <c r="M48" cm="1">
        <f t="array" ref="M48">IF(L48&lt;$F$41,IF((1.35*0.5*linterp(10000,atmos_h,atmos_rho)*((L48*linterp(10000,atmos_h,atmos_aspeed))^2)*37.8)/900&gt;6,6,(1.35*0.5*linterp(10000,atmos_h,atmos_rho)*((L48*linterp(10000,atmos_h,atmos_aspeed))^2)*37.8)/900),0)</f>
        <v>6</v>
      </c>
      <c r="N48" cm="1">
        <f t="array" ref="N48">IF(L48&lt;$F$41,IF(-1*(1.35*0.5*linterp(10000,atmos_h,atmos_rho)*((L48*linterp(10000,atmos_h,atmos_aspeed))^2)*37.8)/900&lt;-1.5,-1.5,-1*(1.35*0.5*linterp(10000,atmos_h,atmos_rho)*((L48*linterp(10000,atmos_h,atmos_aspeed))^2)*37.8)/900),0)</f>
        <v>-1.5</v>
      </c>
    </row>
    <row r="49" spans="1:14" x14ac:dyDescent="0.25">
      <c r="A49">
        <v>12000</v>
      </c>
      <c r="B49" s="1" cm="1">
        <f t="array" ref="B49">C49/linterp(A49,atmos_h,atmos_vela)</f>
        <v>0.23093627869740244</v>
      </c>
      <c r="C49" s="2" cm="1">
        <f t="array" ref="C49">SQRT((2/linterp(A49,atmos_h,atmos_rho))*(900/37.8)*(1/1.35))</f>
        <v>146.31660745710025</v>
      </c>
      <c r="D49">
        <v>0.55000000000000004</v>
      </c>
      <c r="E49" cm="1">
        <f t="array" ref="E49">260/linterp(A49,atmos_h,atmos_sqrtdr)</f>
        <v>312.27480182560652</v>
      </c>
      <c r="F49" s="1" cm="1">
        <f t="array" ref="F49">IF(E49/linterp(A49,atmos_h,atmos_vela)&gt;D49,D49,E49/linterp(A49,atmos_h,atmos_vela))</f>
        <v>0.49287351530289231</v>
      </c>
      <c r="H49">
        <v>0.47</v>
      </c>
      <c r="I49" cm="1">
        <f t="array" ref="I49">IF(H49&lt;$H$54,IF((1.35*0.5*linterp(0,atmos_h,atmos_rho)*((H49*linterp(0,atmos_h,atmos_aspeed))^2)*37.8)/900&gt;6,6,(1.35*0.5*linterp(0,atmos_h,atmos_rho)*((H49*linterp(0,atmos_h,atmos_aspeed))^2)*37.8)/900),0)</f>
        <v>0</v>
      </c>
      <c r="J49" cm="1">
        <f t="array" ref="J49">IF(H49&lt;$H$54,IF(-1*(1.35*0.5*linterp(0,atmos_h,atmos_rho)*((H49*linterp(0,atmos_h,atmos_aspeed))^2)*37.8)/900&lt;-1.5,-1.5,-1*(1.35*0.5*linterp(0,atmos_h,atmos_rho)*((H49*linterp(0,atmos_h,atmos_aspeed))^2)*37.8)/900),0)</f>
        <v>0</v>
      </c>
      <c r="L49">
        <v>0.47</v>
      </c>
      <c r="M49" cm="1">
        <f t="array" ref="M49">IF(L49&lt;$F$41,IF((1.35*0.5*linterp(10000,atmos_h,atmos_rho)*((L49*linterp(10000,atmos_h,atmos_aspeed))^2)*37.8)/900&gt;6,6,(1.35*0.5*linterp(10000,atmos_h,atmos_rho)*((L49*linterp(10000,atmos_h,atmos_aspeed))^2)*37.8)/900),0)</f>
        <v>6</v>
      </c>
      <c r="N49" cm="1">
        <f t="array" ref="N49">IF(L49&lt;$F$41,IF(-1*(1.35*0.5*linterp(10000,atmos_h,atmos_rho)*((L49*linterp(10000,atmos_h,atmos_aspeed))^2)*37.8)/900&lt;-1.5,-1.5,-1*(1.35*0.5*linterp(10000,atmos_h,atmos_rho)*((L49*linterp(10000,atmos_h,atmos_aspeed))^2)*37.8)/900),0)</f>
        <v>-1.5</v>
      </c>
    </row>
    <row r="50" spans="1:14" x14ac:dyDescent="0.25">
      <c r="A50">
        <v>12250</v>
      </c>
      <c r="B50" s="1" cm="1">
        <f t="array" ref="B50">C50/linterp(A50,atmos_h,atmos_vela)</f>
        <v>0.23208957441912326</v>
      </c>
      <c r="C50" s="2" cm="1">
        <f t="array" ref="C50">SQRT((2/linterp(A50,atmos_h,atmos_rho))*(900/37.8)*(1/1.35))</f>
        <v>146.90805881581664</v>
      </c>
      <c r="D50">
        <v>0.55000000000000004</v>
      </c>
      <c r="E50" cm="1">
        <f t="array" ref="E50">260/linterp(A50,atmos_h,atmos_sqrtdr)</f>
        <v>313.54578069884531</v>
      </c>
      <c r="F50" s="1" cm="1">
        <f t="array" ref="F50">IF(E50/linterp(A50,atmos_h,atmos_vela)&gt;D50,D50,E50/linterp(A50,atmos_h,atmos_vela))</f>
        <v>0.49534863771184762</v>
      </c>
      <c r="H50">
        <v>0.48</v>
      </c>
      <c r="I50" cm="1">
        <f t="array" ref="I50">IF(H50&lt;$H$54,IF((1.35*0.5*linterp(0,atmos_h,atmos_rho)*((H50*linterp(0,atmos_h,atmos_aspeed))^2)*37.8)/900&gt;6,6,(1.35*0.5*linterp(0,atmos_h,atmos_rho)*((H50*linterp(0,atmos_h,atmos_aspeed))^2)*37.8)/900),0)</f>
        <v>0</v>
      </c>
      <c r="J50" cm="1">
        <f t="array" ref="J50">IF(H50&lt;$H$54,IF(-1*(1.35*0.5*linterp(0,atmos_h,atmos_rho)*((H50*linterp(0,atmos_h,atmos_aspeed))^2)*37.8)/900&lt;-1.5,-1.5,-1*(1.35*0.5*linterp(0,atmos_h,atmos_rho)*((H50*linterp(0,atmos_h,atmos_aspeed))^2)*37.8)/900),0)</f>
        <v>0</v>
      </c>
      <c r="L50">
        <v>0.48</v>
      </c>
      <c r="M50" cm="1">
        <f t="array" ref="M50">IF(L50&lt;$F$41,IF((1.35*0.5*linterp(10000,atmos_h,atmos_rho)*((L50*linterp(10000,atmos_h,atmos_aspeed))^2)*37.8)/900&gt;6,6,(1.35*0.5*linterp(10000,atmos_h,atmos_rho)*((L50*linterp(10000,atmos_h,atmos_aspeed))^2)*37.8)/900),0)</f>
        <v>0</v>
      </c>
      <c r="N50" cm="1">
        <f t="array" ref="N50">IF(L50&lt;$F$41,IF(-1*(1.35*0.5*linterp(10000,atmos_h,atmos_rho)*((L50*linterp(10000,atmos_h,atmos_aspeed))^2)*37.8)/900&lt;-1.5,-1.5,-1*(1.35*0.5*linterp(10000,atmos_h,atmos_rho)*((L50*linterp(10000,atmos_h,atmos_aspeed))^2)*37.8)/900),0)</f>
        <v>0</v>
      </c>
    </row>
    <row r="51" spans="1:14" x14ac:dyDescent="0.25">
      <c r="A51">
        <v>12500</v>
      </c>
      <c r="B51" s="1" cm="1">
        <f t="array" ref="B51">C51/linterp(A51,atmos_h,atmos_vela)</f>
        <v>0.23325649304636595</v>
      </c>
      <c r="C51" s="2" cm="1">
        <f t="array" ref="C51">SQRT((2/linterp(A51,atmos_h,atmos_rho))*(900/37.8)*(1/1.35))</f>
        <v>147.5067410726609</v>
      </c>
      <c r="D51">
        <v>0.55000000000000004</v>
      </c>
      <c r="E51" cm="1">
        <f t="array" ref="E51">260/linterp(A51,atmos_h,atmos_sqrtdr)</f>
        <v>314.82714778712841</v>
      </c>
      <c r="F51" s="1" cm="1">
        <f t="array" ref="F51">IF(E51/linterp(A51,atmos_h,atmos_vela)&gt;D51,D51,E51/linterp(A51,atmos_h,atmos_vela))</f>
        <v>0.49784488406832667</v>
      </c>
    </row>
    <row r="52" spans="1:14" x14ac:dyDescent="0.25">
      <c r="A52">
        <v>12750</v>
      </c>
      <c r="B52" s="1" cm="1">
        <f t="array" ref="B52">C52/linterp(A52,atmos_h,atmos_vela)</f>
        <v>0.23443730851973252</v>
      </c>
      <c r="C52" s="2" cm="1">
        <f t="array" ref="C52">SQRT((2/linterp(A52,atmos_h,atmos_rho))*(900/37.8)*(1/1.35))</f>
        <v>148.1128027765966</v>
      </c>
      <c r="D52">
        <v>0.55000000000000004</v>
      </c>
      <c r="E52" cm="1">
        <f t="array" ref="E52">260/linterp(A52,atmos_h,atmos_sqrtdr)</f>
        <v>316.11903097358578</v>
      </c>
      <c r="F52" s="1" cm="1">
        <f t="array" ref="F52">IF(E52/linterp(A52,atmos_h,atmos_vela)&gt;D52,D52,E52/linterp(A52,atmos_h,atmos_vela))</f>
        <v>0.50036251697360756</v>
      </c>
    </row>
    <row r="53" spans="1:14" x14ac:dyDescent="0.25">
      <c r="A53">
        <v>13000</v>
      </c>
      <c r="B53" s="1" cm="1">
        <f t="array" ref="B53">C53/linterp(A53,atmos_h,atmos_vela)</f>
        <v>0.2356323026465191</v>
      </c>
      <c r="C53" s="2" cm="1">
        <f t="array" ref="C53">SQRT((2/linterp(A53,atmos_h,atmos_rho))*(900/37.8)*(1/1.35))</f>
        <v>148.72639678442991</v>
      </c>
      <c r="D53">
        <v>0.55000000000000004</v>
      </c>
      <c r="E53" cm="1">
        <f t="array" ref="E53">260/linterp(A53,atmos_h,atmos_sqrtdr)</f>
        <v>317.42156024905381</v>
      </c>
      <c r="F53" s="1" cm="1">
        <f t="array" ref="F53">IF(E53/linterp(A53,atmos_h,atmos_vela)&gt;D53,D53,E53/linterp(A53,atmos_h,atmos_vela))</f>
        <v>0.50290180336679524</v>
      </c>
    </row>
    <row r="54" spans="1:14" x14ac:dyDescent="0.25">
      <c r="A54">
        <v>13250</v>
      </c>
      <c r="B54" s="1" cm="1">
        <f t="array" ref="B54">C54/linterp(A54,atmos_h,atmos_vela)</f>
        <v>0.23677008080381917</v>
      </c>
      <c r="C54" s="2" cm="1">
        <f t="array" ref="C54">SQRT((2/linterp(A54,atmos_h,atmos_rho))*(900/37.8)*(1/1.35))</f>
        <v>149.30543717928234</v>
      </c>
      <c r="D54">
        <v>0.55000000000000004</v>
      </c>
      <c r="E54" cm="1">
        <f t="array" ref="E54">260/linterp(A54,atmos_h,atmos_sqrtdr)</f>
        <v>318.66650324794705</v>
      </c>
      <c r="F54" s="1" cm="1">
        <f t="array" ref="F54">IF(E54/linterp(A54,atmos_h,atmos_vela)&gt;D54,D54,E54/linterp(A54,atmos_h,atmos_vela))</f>
        <v>0.5053445818780703</v>
      </c>
      <c r="H54" s="1" cm="1">
        <f t="array" ref="H54">IF(E2/linterp(0,atmos_h,atmos_vela)&gt;D2,D2,E2/linterp(0,atmos_h,atmos_vela))</f>
        <v>0.39451580095149846</v>
      </c>
    </row>
    <row r="55" spans="1:14" x14ac:dyDescent="0.25">
      <c r="A55">
        <v>13500</v>
      </c>
      <c r="B55" s="1" cm="1">
        <f t="array" ref="B55">C55/linterp(A55,atmos_h,atmos_vela)</f>
        <v>0.23792080038581537</v>
      </c>
      <c r="C55" s="2" cm="1">
        <f t="array" ref="C55">SQRT((2/linterp(A55,atmos_h,atmos_rho))*(900/37.8)*(1/1.35))</f>
        <v>149.89129384706561</v>
      </c>
      <c r="D55">
        <v>0.55000000000000004</v>
      </c>
      <c r="E55" cm="1">
        <f t="array" ref="E55">260/linterp(A55,atmos_h,atmos_sqrtdr)</f>
        <v>319.92125015380827</v>
      </c>
      <c r="F55" s="1" cm="1">
        <f t="array" ref="F55">IF(E55/linterp(A55,atmos_h,atmos_vela)&gt;D55,D55,E55/linterp(A55,atmos_h,atmos_vela))</f>
        <v>0.50780747796256898</v>
      </c>
    </row>
    <row r="56" spans="1:14" x14ac:dyDescent="0.25">
      <c r="A56">
        <v>13750</v>
      </c>
      <c r="B56" s="1" cm="1">
        <f t="array" ref="B56">C56/linterp(A56,atmos_h,atmos_vela)</f>
        <v>0.23908471178107313</v>
      </c>
      <c r="C56" s="2" cm="1">
        <f t="array" ref="C56">SQRT((2/linterp(A56,atmos_h,atmos_rho))*(900/37.8)*(1/1.35))</f>
        <v>150.4841015774636</v>
      </c>
      <c r="D56">
        <v>0.55000000000000004</v>
      </c>
      <c r="E56" cm="1">
        <f t="array" ref="E56">260/linterp(A56,atmos_h,atmos_sqrtdr)</f>
        <v>321.18591723285977</v>
      </c>
      <c r="F56" s="1" cm="1">
        <f t="array" ref="F56">IF(E56/linterp(A56,atmos_h,atmos_vela)&gt;D56,D56,E56/linterp(A56,atmos_h,atmos_vela))</f>
        <v>0.51029073267403557</v>
      </c>
    </row>
    <row r="57" spans="1:14" x14ac:dyDescent="0.25">
      <c r="A57">
        <v>14000</v>
      </c>
      <c r="B57" s="1" cm="1">
        <f t="array" ref="B57">C57/linterp(A57,atmos_h,atmos_vela)</f>
        <v>0.24026207229539931</v>
      </c>
      <c r="C57" s="2" cm="1">
        <f t="array" ref="C57">SQRT((2/linterp(A57,atmos_h,atmos_rho))*(900/37.8)*(1/1.35))</f>
        <v>151.08399892151596</v>
      </c>
      <c r="D57">
        <v>0.55000000000000004</v>
      </c>
      <c r="E57" cm="1">
        <f t="array" ref="E57">260/linterp(A57,atmos_h,atmos_sqrtdr)</f>
        <v>322.46062259704826</v>
      </c>
      <c r="F57" s="1" cm="1">
        <f t="array" ref="F57">IF(E57/linterp(A57,atmos_h,atmos_vela)&gt;D57,D57,E57/linterp(A57,atmos_h,atmos_vela))</f>
        <v>0.51279459090222834</v>
      </c>
    </row>
    <row r="58" spans="1:14" x14ac:dyDescent="0.25">
      <c r="A58">
        <v>14250</v>
      </c>
      <c r="B58" s="1" cm="1">
        <f t="array" ref="B58">C58/linterp(A58,atmos_h,atmos_vela)</f>
        <v>0.24146186492995253</v>
      </c>
      <c r="C58" s="2" cm="1">
        <f t="array" ref="C58">SQRT((2/linterp(A58,atmos_h,atmos_rho))*(900/37.8)*(1/1.35))</f>
        <v>151.69298375028174</v>
      </c>
      <c r="D58">
        <v>0.55000000000000004</v>
      </c>
      <c r="E58" cm="1">
        <f t="array" ref="E58">260/linterp(A58,atmos_h,atmos_sqrtdr)</f>
        <v>323.76564348421641</v>
      </c>
      <c r="F58" s="1" cm="1">
        <f t="array" ref="F58">IF(E58/linterp(A58,atmos_h,atmos_vela)&gt;D58,D58,E58/linterp(A58,atmos_h,atmos_vela))</f>
        <v>0.51536369147198491</v>
      </c>
    </row>
    <row r="59" spans="1:14" x14ac:dyDescent="0.25">
      <c r="A59">
        <v>14500</v>
      </c>
      <c r="B59" s="1" cm="1">
        <f t="array" ref="B59">C59/linterp(A59,atmos_h,atmos_vela)</f>
        <v>0.24267578965220216</v>
      </c>
      <c r="C59" s="2" cm="1">
        <f t="array" ref="C59">SQRT((2/linterp(A59,atmos_h,atmos_rho))*(900/37.8)*(1/1.35))</f>
        <v>152.30939248046337</v>
      </c>
      <c r="D59">
        <v>0.55000000000000004</v>
      </c>
      <c r="E59" cm="1">
        <f t="array" ref="E59">260/linterp(A59,atmos_h,atmos_sqrtdr)</f>
        <v>325.08127031757937</v>
      </c>
      <c r="F59" s="1" cm="1">
        <f t="array" ref="F59">IF(E59/linterp(A59,atmos_h,atmos_vela)&gt;D59,D59,E59/linterp(A59,atmos_h,atmos_vela))</f>
        <v>0.51795462309114415</v>
      </c>
    </row>
    <row r="60" spans="1:14" x14ac:dyDescent="0.25">
      <c r="A60">
        <v>14750</v>
      </c>
      <c r="B60" s="1" cm="1">
        <f t="array" ref="B60">C60/linterp(A60,atmos_h,atmos_vela)</f>
        <v>0.2439041297321361</v>
      </c>
      <c r="C60" s="2" cm="1">
        <f t="array" ref="C60">SQRT((2/linterp(A60,atmos_h,atmos_rho))*(900/37.8)*(1/1.35))</f>
        <v>152.93337718496832</v>
      </c>
      <c r="D60">
        <v>0.55000000000000004</v>
      </c>
      <c r="E60" cm="1">
        <f t="array" ref="E60">260/linterp(A60,atmos_h,atmos_sqrtdr)</f>
        <v>326.40763291695436</v>
      </c>
      <c r="F60" s="1" cm="1">
        <f t="array" ref="F60">IF(E60/linterp(A60,atmos_h,atmos_vela)&gt;D60,D60,E60/linterp(A60,atmos_h,atmos_vela))</f>
        <v>0.52056765573317443</v>
      </c>
    </row>
    <row r="61" spans="1:14" x14ac:dyDescent="0.25">
      <c r="A61">
        <v>15000</v>
      </c>
      <c r="B61" s="1" cm="1">
        <f t="array" ref="B61">C61/linterp(A61,atmos_h,atmos_vela)</f>
        <v>0.24514717654908955</v>
      </c>
      <c r="C61" s="2" cm="1">
        <f t="array" ref="C61">SQRT((2/linterp(A61,atmos_h,atmos_rho))*(900/37.8)*(1/1.35))</f>
        <v>153.56509433388067</v>
      </c>
      <c r="D61">
        <v>0.55000000000000004</v>
      </c>
      <c r="E61" cm="1">
        <f t="array" ref="E61">260/linterp(A61,atmos_h,atmos_sqrtdr)</f>
        <v>327.74486322954743</v>
      </c>
      <c r="F61" s="1" cm="1">
        <f t="array" ref="F61">IF(E61/linterp(A61,atmos_h,atmos_vela)&gt;D61,D61,E61/linterp(A61,atmos_h,atmos_vela))</f>
        <v>0.52320306380630799</v>
      </c>
    </row>
    <row r="62" spans="1:14" x14ac:dyDescent="0.25">
      <c r="A62">
        <v>15250</v>
      </c>
      <c r="B62" s="1" cm="1">
        <f t="array" ref="B62">C62/linterp(A62,atmos_h,atmos_vela)</f>
        <v>0.24639515632024062</v>
      </c>
      <c r="C62" s="2" cm="1">
        <f t="array" ref="C62">SQRT((2/linterp(A62,atmos_h,atmos_rho))*(900/37.8)*(1/1.35))</f>
        <v>154.19716876466057</v>
      </c>
      <c r="D62">
        <v>0.55000000000000004</v>
      </c>
      <c r="E62" cm="1">
        <f t="array" ref="E62">260/linterp(A62,atmos_h,atmos_sqrtdr)</f>
        <v>329.1035093826145</v>
      </c>
      <c r="F62" s="1" cm="1">
        <f t="array" ref="F62">IF(E62/linterp(A62,atmos_h,atmos_vela)&gt;D62,D62,E62/linterp(A62,atmos_h,atmos_vela))</f>
        <v>0.52588196845319402</v>
      </c>
    </row>
    <row r="63" spans="1:14" x14ac:dyDescent="0.25">
      <c r="A63">
        <v>15500</v>
      </c>
      <c r="B63" s="1" cm="1">
        <f t="array" ref="B63">C63/linterp(A63,atmos_h,atmos_vela)</f>
        <v>0.24765814870685632</v>
      </c>
      <c r="C63" s="2" cm="1">
        <f t="array" ref="C63">SQRT((2/linterp(A63,atmos_h,atmos_rho))*(900/37.8)*(1/1.35))</f>
        <v>154.83711286227009</v>
      </c>
      <c r="D63">
        <v>0.55000000000000004</v>
      </c>
      <c r="E63" cm="1">
        <f t="array" ref="E63">260/linterp(A63,atmos_h,atmos_sqrtdr)</f>
        <v>330.47346679377188</v>
      </c>
      <c r="F63" s="1" cm="1">
        <f t="array" ref="F63">IF(E63/linterp(A63,atmos_h,atmos_vela)&gt;D63,D63,E63/linterp(A63,atmos_h,atmos_vela))</f>
        <v>0.52858417126186119</v>
      </c>
    </row>
    <row r="64" spans="1:14" x14ac:dyDescent="0.25">
      <c r="A64">
        <v>15750</v>
      </c>
      <c r="B64" s="1" cm="1">
        <f t="array" ref="B64">C64/linterp(A64,atmos_h,atmos_vela)</f>
        <v>0.24893646115562584</v>
      </c>
      <c r="C64" s="2" cm="1">
        <f t="array" ref="C64">SQRT((2/linterp(A64,atmos_h,atmos_rho))*(900/37.8)*(1/1.35))</f>
        <v>155.48509129665101</v>
      </c>
      <c r="D64">
        <v>0.55000000000000004</v>
      </c>
      <c r="E64" cm="1">
        <f t="array" ref="E64">260/linterp(A64,atmos_h,atmos_sqrtdr)</f>
        <v>331.85487730942276</v>
      </c>
      <c r="F64" s="1" cm="1">
        <f t="array" ref="F64">IF(E64/linterp(A64,atmos_h,atmos_vela)&gt;D64,D64,E64/linterp(A64,atmos_h,atmos_vela))</f>
        <v>0.53130996731402669</v>
      </c>
    </row>
    <row r="65" spans="1:6" x14ac:dyDescent="0.25">
      <c r="A65">
        <v>16000</v>
      </c>
      <c r="B65" s="1" cm="1">
        <f t="array" ref="B65">C65/linterp(A65,atmos_h,atmos_vela)</f>
        <v>0.25023041010656999</v>
      </c>
      <c r="C65" s="2" cm="1">
        <f t="array" ref="C65">SQRT((2/linterp(A65,atmos_h,atmos_rho))*(900/37.8)*(1/1.35))</f>
        <v>156.1412736023986</v>
      </c>
      <c r="D65">
        <v>0.55000000000000004</v>
      </c>
      <c r="E65" cm="1">
        <f t="array" ref="E65">260/linterp(A65,atmos_h,atmos_sqrtdr)</f>
        <v>333.24788515765187</v>
      </c>
      <c r="F65" s="1" cm="1">
        <f t="array" ref="F65">IF(E65/linterp(A65,atmos_h,atmos_vela)&gt;D65,D65,E65/linterp(A65,atmos_h,atmos_vela))</f>
        <v>0.53405965665740129</v>
      </c>
    </row>
    <row r="66" spans="1:6" x14ac:dyDescent="0.25">
      <c r="A66">
        <v>16250</v>
      </c>
      <c r="B66" s="1" cm="1">
        <f t="array" ref="B66">C66/linterp(A66,atmos_h,atmos_vela)</f>
        <v>0.25146394420525725</v>
      </c>
      <c r="C66" s="2" cm="1">
        <f t="array" ref="C66">SQRT((2/linterp(A66,atmos_h,atmos_rho))*(900/37.8)*(1/1.35))</f>
        <v>156.76199415769688</v>
      </c>
      <c r="D66">
        <v>0.55000000000000004</v>
      </c>
      <c r="E66" cm="1">
        <f t="array" ref="E66">260/linterp(A66,atmos_h,atmos_sqrtdr)</f>
        <v>334.58803847762442</v>
      </c>
      <c r="F66" s="1" cm="1">
        <f t="array" ref="F66">IF(E66/linterp(A66,atmos_h,atmos_vela)&gt;D66,D66,E66/linterp(A66,atmos_h,atmos_vela))</f>
        <v>0.53671700396235855</v>
      </c>
    </row>
    <row r="67" spans="1:6" x14ac:dyDescent="0.25">
      <c r="A67">
        <v>16500</v>
      </c>
      <c r="B67" s="1" cm="1">
        <f t="array" ref="B67">C67/linterp(A67,atmos_h,atmos_vela)</f>
        <v>0.25271180683951006</v>
      </c>
      <c r="C67" s="2" cm="1">
        <f t="array" ref="C67">SQRT((2/linterp(A67,atmos_h,atmos_rho))*(900/37.8)*(1/1.35))</f>
        <v>157.39017685868109</v>
      </c>
      <c r="D67">
        <v>0.55000000000000004</v>
      </c>
      <c r="E67" cm="1">
        <f t="array" ref="E67">260/linterp(A67,atmos_h,atmos_sqrtdr)</f>
        <v>335.93901414820078</v>
      </c>
      <c r="F67" s="1" cm="1">
        <f t="array" ref="F67">IF(E67/linterp(A67,atmos_h,atmos_vela)&gt;D67,D67,E67/linterp(A67,atmos_h,atmos_vela))</f>
        <v>0.53939678414303149</v>
      </c>
    </row>
    <row r="68" spans="1:6" x14ac:dyDescent="0.25">
      <c r="A68">
        <v>16750</v>
      </c>
      <c r="B68" s="1" cm="1">
        <f t="array" ref="B68">C68/linterp(A68,atmos_h,atmos_vela)</f>
        <v>0.253974281177412</v>
      </c>
      <c r="C68" s="2" cm="1">
        <f t="array" ref="C68">SQRT((2/linterp(A68,atmos_h,atmos_rho))*(900/37.8)*(1/1.35))</f>
        <v>158.02597242710047</v>
      </c>
      <c r="D68">
        <v>0.55000000000000004</v>
      </c>
      <c r="E68" cm="1">
        <f t="array" ref="E68">260/linterp(A68,atmos_h,atmos_sqrtdr)</f>
        <v>337.3009437939869</v>
      </c>
      <c r="F68" s="1" cm="1">
        <f t="array" ref="F68">IF(E68/linterp(A68,atmos_h,atmos_vela)&gt;D68,D68,E68/linterp(A68,atmos_h,atmos_vela))</f>
        <v>0.54209927282718828</v>
      </c>
    </row>
    <row r="69" spans="1:6" x14ac:dyDescent="0.25">
      <c r="A69">
        <v>17000</v>
      </c>
      <c r="B69" s="1" cm="1">
        <f t="array" ref="B69">C69/linterp(A69,atmos_h,atmos_vela)</f>
        <v>0.25525165837884456</v>
      </c>
      <c r="C69" s="2" cm="1">
        <f t="array" ref="C69">SQRT((2/linterp(A69,atmos_h,atmos_rho))*(900/37.8)*(1/1.35))</f>
        <v>158.66953588145736</v>
      </c>
      <c r="D69">
        <v>0.55000000000000004</v>
      </c>
      <c r="E69" cm="1">
        <f t="array" ref="E69">260/linterp(A69,atmos_h,atmos_sqrtdr)</f>
        <v>338.67396118275366</v>
      </c>
      <c r="F69" s="1" cm="1">
        <f t="array" ref="F69">IF(E69/linterp(A69,atmos_h,atmos_vela)&gt;D69,D69,E69/linterp(A69,atmos_h,atmos_vela))</f>
        <v>0.54482475014116927</v>
      </c>
    </row>
    <row r="70" spans="1:6" x14ac:dyDescent="0.25">
      <c r="A70">
        <v>17250</v>
      </c>
      <c r="B70" s="1" cm="1">
        <f t="array" ref="B70">C70/linterp(A70,atmos_h,atmos_vela)</f>
        <v>0.25658019736186988</v>
      </c>
      <c r="C70" s="2" cm="1">
        <f t="array" ref="C70">SQRT((2/linterp(A70,atmos_h,atmos_rho))*(900/37.8)*(1/1.35))</f>
        <v>159.3382269132014</v>
      </c>
      <c r="D70">
        <v>0.55000000000000004</v>
      </c>
      <c r="E70" cm="1">
        <f t="array" ref="E70">260/linterp(A70,atmos_h,atmos_sqrtdr)</f>
        <v>340.10268484907942</v>
      </c>
      <c r="F70" s="1" cm="1">
        <f t="array" ref="F70">IF(E70/linterp(A70,atmos_h,atmos_vela)&gt;D70,D70,E70/linterp(A70,atmos_h,atmos_vela))</f>
        <v>0.54766276550457038</v>
      </c>
    </row>
    <row r="71" spans="1:6" x14ac:dyDescent="0.25">
      <c r="A71">
        <v>17500</v>
      </c>
      <c r="B71" s="1" cm="1">
        <f t="array" ref="B71">C71/linterp(A71,atmos_h,atmos_vela)</f>
        <v>0.25792510280684966</v>
      </c>
      <c r="C71" s="2" cm="1">
        <f t="array" ref="C71">SQRT((2/linterp(A71,atmos_h,atmos_rho))*(900/37.8)*(1/1.35))</f>
        <v>160.0154441558555</v>
      </c>
      <c r="D71">
        <v>0.55000000000000004</v>
      </c>
      <c r="E71" cm="1">
        <f t="array" ref="E71">260/linterp(A71,atmos_h,atmos_sqrtdr)</f>
        <v>341.54351395730708</v>
      </c>
      <c r="F71" s="1" cm="1">
        <f t="array" ref="F71">IF(E71/linterp(A71,atmos_h,atmos_vela)&gt;D71,D71,E71/linterp(A71,atmos_h,atmos_vela))</f>
        <v>0.55000000000000004</v>
      </c>
    </row>
    <row r="72" spans="1:6" x14ac:dyDescent="0.25">
      <c r="A72">
        <v>17750</v>
      </c>
      <c r="B72" s="1" cm="1">
        <f t="array" ref="B72">C72/linterp(A72,atmos_h,atmos_vela)</f>
        <v>0.25928671808878595</v>
      </c>
      <c r="C72" s="2" cm="1">
        <f t="array" ref="C72">SQRT((2/linterp(A72,atmos_h,atmos_rho))*(900/37.8)*(1/1.35))</f>
        <v>160.70137035386298</v>
      </c>
      <c r="D72">
        <v>0.55000000000000004</v>
      </c>
      <c r="E72" cm="1">
        <f t="array" ref="E72">260/linterp(A72,atmos_h,atmos_sqrtdr)</f>
        <v>342.99660301441241</v>
      </c>
      <c r="F72" s="1" cm="1">
        <f t="array" ref="F72">IF(E72/linterp(A72,atmos_h,atmos_vela)&gt;D72,D72,E72/linterp(A72,atmos_h,atmos_vela))</f>
        <v>0.55000000000000004</v>
      </c>
    </row>
    <row r="73" spans="1:6" x14ac:dyDescent="0.25">
      <c r="A73">
        <v>18000</v>
      </c>
      <c r="B73" s="1" cm="1">
        <f t="array" ref="B73">C73/linterp(A73,atmos_h,atmos_vela)</f>
        <v>0.26066539687425744</v>
      </c>
      <c r="C73" s="2" cm="1">
        <f t="array" ref="C73">SQRT((2/linterp(A73,atmos_h,atmos_rho))*(900/37.8)*(1/1.35))</f>
        <v>161.39619378263396</v>
      </c>
      <c r="D73">
        <v>0.55000000000000004</v>
      </c>
      <c r="E73" cm="1">
        <f t="array" ref="E73">260/linterp(A73,atmos_h,atmos_sqrtdr)</f>
        <v>344.46210916799151</v>
      </c>
      <c r="F73" s="1" cm="1">
        <f t="array" ref="F73">IF(E73/linterp(A73,atmos_h,atmos_vela)&gt;D73,D73,E73/linterp(A73,atmos_h,atmos_vela))</f>
        <v>0.55000000000000004</v>
      </c>
    </row>
    <row r="74" spans="1:6" x14ac:dyDescent="0.25">
      <c r="A74">
        <v>18250</v>
      </c>
      <c r="B74" s="1" cm="1">
        <f t="array" ref="B74">C74/linterp(A74,atmos_h,atmos_vela)</f>
        <v>0.26200791814379742</v>
      </c>
      <c r="C74" s="2" cm="1">
        <f t="array" ref="C74">SQRT((2/linterp(A74,atmos_h,atmos_rho))*(900/37.8)*(1/1.35))</f>
        <v>162.0663078074366</v>
      </c>
      <c r="D74">
        <v>0.55000000000000004</v>
      </c>
      <c r="E74" cm="1">
        <f t="array" ref="E74">260/linterp(A74,atmos_h,atmos_sqrtdr)</f>
        <v>345.90567418346302</v>
      </c>
      <c r="F74" s="1" cm="1">
        <f t="array" ref="F74">IF(E74/linterp(A74,atmos_h,atmos_vela)&gt;D74,D74,E74/linterp(A74,atmos_h,atmos_vela))</f>
        <v>0.55000000000000004</v>
      </c>
    </row>
    <row r="75" spans="1:6" x14ac:dyDescent="0.25">
      <c r="A75">
        <v>18500</v>
      </c>
      <c r="B75" s="1" cm="1">
        <f t="array" ref="B75">C75/linterp(A75,atmos_h,atmos_vela)</f>
        <v>0.26336673245439562</v>
      </c>
      <c r="C75" s="2" cm="1">
        <f t="array" ref="C75">SQRT((2/linterp(A75,atmos_h,atmos_rho))*(900/37.8)*(1/1.35))</f>
        <v>162.74483865286925</v>
      </c>
      <c r="D75">
        <v>0.55000000000000004</v>
      </c>
      <c r="E75" cm="1">
        <f t="array" ref="E75">260/linterp(A75,atmos_h,atmos_sqrtdr)</f>
        <v>347.36138944555773</v>
      </c>
      <c r="F75" s="1" cm="1">
        <f t="array" ref="F75">IF(E75/linterp(A75,atmos_h,atmos_vela)&gt;D75,D75,E75/linterp(A75,atmos_h,atmos_vela))</f>
        <v>0.55000000000000004</v>
      </c>
    </row>
    <row r="76" spans="1:6" x14ac:dyDescent="0.25">
      <c r="A76">
        <v>18750</v>
      </c>
      <c r="B76" s="1" cm="1">
        <f t="array" ref="B76">C76/linterp(A76,atmos_h,atmos_vela)</f>
        <v>0.26474217633071234</v>
      </c>
      <c r="C76" s="2" cm="1">
        <f t="array" ref="C76">SQRT((2/linterp(A76,atmos_h,atmos_rho))*(900/37.8)*(1/1.35))</f>
        <v>163.43196400335702</v>
      </c>
      <c r="D76">
        <v>0.55000000000000004</v>
      </c>
      <c r="E76" cm="1">
        <f t="array" ref="E76">260/linterp(A76,atmos_h,atmos_sqrtdr)</f>
        <v>348.82940900248207</v>
      </c>
      <c r="F76" s="1" cm="1">
        <f t="array" ref="F76">IF(E76/linterp(A76,atmos_h,atmos_vela)&gt;D76,D76,E76/linterp(A76,atmos_h,atmos_vela))</f>
        <v>0.55000000000000004</v>
      </c>
    </row>
    <row r="77" spans="1:6" x14ac:dyDescent="0.25">
      <c r="A77">
        <v>19000</v>
      </c>
      <c r="B77" s="1" cm="1">
        <f t="array" ref="B77">C77/linterp(A77,atmos_h,atmos_vela)</f>
        <v>0.26613459622757307</v>
      </c>
      <c r="C77" s="2" cm="1">
        <f t="array" ref="C77">SQRT((2/linterp(A77,atmos_h,atmos_rho))*(900/37.8)*(1/1.35))</f>
        <v>164.12786683950659</v>
      </c>
      <c r="D77">
        <v>0.55000000000000004</v>
      </c>
      <c r="E77" cm="1">
        <f t="array" ref="E77">260/linterp(A77,atmos_h,atmos_sqrtdr)</f>
        <v>350.30988951765022</v>
      </c>
      <c r="F77" s="1" cm="1">
        <f t="array" ref="F77">IF(E77/linterp(A77,atmos_h,atmos_vela)&gt;D77,D77,E77/linterp(A77,atmos_h,atmos_vela))</f>
        <v>0.55000000000000004</v>
      </c>
    </row>
    <row r="78" spans="1:6" x14ac:dyDescent="0.25">
      <c r="A78">
        <v>19250</v>
      </c>
      <c r="B78" s="1" cm="1">
        <f t="array" ref="B78">C78/linterp(A78,atmos_h,atmos_vela)</f>
        <v>0.26749276769103969</v>
      </c>
      <c r="C78" s="2" cm="1">
        <f t="array" ref="C78">SQRT((2/linterp(A78,atmos_h,atmos_rho))*(900/37.8)*(1/1.35))</f>
        <v>164.80496910212648</v>
      </c>
      <c r="D78">
        <v>0.55000000000000004</v>
      </c>
      <c r="E78" cm="1">
        <f t="array" ref="E78">260/linterp(A78,atmos_h,atmos_sqrtdr)</f>
        <v>351.75539471014002</v>
      </c>
      <c r="F78" s="1" cm="1">
        <f t="array" ref="F78">IF(E78/linterp(A78,atmos_h,atmos_vela)&gt;D78,D78,E78/linterp(A78,atmos_h,atmos_vela))</f>
        <v>0.55000000000000004</v>
      </c>
    </row>
    <row r="79" spans="1:6" x14ac:dyDescent="0.25">
      <c r="A79">
        <v>19500</v>
      </c>
      <c r="B79" s="1" cm="1">
        <f t="array" ref="B79">C79/linterp(A79,atmos_h,atmos_vela)</f>
        <v>0.26886731519218582</v>
      </c>
      <c r="C79" s="2" cm="1">
        <f t="array" ref="C79">SQRT((2/linterp(A79,atmos_h,atmos_rho))*(900/37.8)*(1/1.35))</f>
        <v>165.49052117394228</v>
      </c>
      <c r="D79">
        <v>0.55000000000000004</v>
      </c>
      <c r="E79" cm="1">
        <f t="array" ref="E79">260/linterp(A79,atmos_h,atmos_sqrtdr)</f>
        <v>353.21287868496131</v>
      </c>
      <c r="F79" s="1" cm="1">
        <f t="array" ref="F79">IF(E79/linterp(A79,atmos_h,atmos_vela)&gt;D79,D79,E79/linterp(A79,atmos_h,atmos_vela))</f>
        <v>0.55000000000000004</v>
      </c>
    </row>
    <row r="80" spans="1:6" x14ac:dyDescent="0.25">
      <c r="A80">
        <v>19750</v>
      </c>
      <c r="B80" s="1" cm="1">
        <f t="array" ref="B80">C80/linterp(A80,atmos_h,atmos_vela)</f>
        <v>0.27025857487604976</v>
      </c>
      <c r="C80" s="2" cm="1">
        <f t="array" ref="C80">SQRT((2/linterp(A80,atmos_h,atmos_rho))*(900/37.8)*(1/1.35))</f>
        <v>166.18470027703174</v>
      </c>
      <c r="D80">
        <v>0.55000000000000004</v>
      </c>
      <c r="E80" cm="1">
        <f t="array" ref="E80">260/linterp(A80,atmos_h,atmos_sqrtdr)</f>
        <v>354.68249096241732</v>
      </c>
      <c r="F80" s="1" cm="1">
        <f t="array" ref="F80">IF(E80/linterp(A80,atmos_h,atmos_vela)&gt;D80,D80,E80/linterp(A80,atmos_h,atmos_vela))</f>
        <v>0.55000000000000004</v>
      </c>
    </row>
    <row r="81" spans="1:6" x14ac:dyDescent="0.25">
      <c r="A81">
        <v>20000</v>
      </c>
      <c r="B81" s="1" cm="1">
        <f t="array" ref="B81">C81/linterp(A81,atmos_h,atmos_vela)</f>
        <v>0.27166689274351447</v>
      </c>
      <c r="C81" s="2" cm="1">
        <f t="array" ref="C81">SQRT((2/linterp(A81,atmos_h,atmos_rho))*(900/37.8)*(1/1.35))</f>
        <v>166.88768888126836</v>
      </c>
      <c r="D81">
        <v>0.55000000000000004</v>
      </c>
      <c r="E81" cm="1">
        <f t="array" ref="E81">260/linterp(A81,atmos_h,atmos_sqrtdr)</f>
        <v>356.16438356164383</v>
      </c>
      <c r="F81" s="1" cm="1">
        <f t="array" ref="F81">IF(E81/linterp(A81,atmos_h,atmos_vela)&gt;D81,D81,E81/linterp(A81,atmos_h,atmos_vela))</f>
        <v>0.55000000000000004</v>
      </c>
    </row>
    <row r="82" spans="1:6" x14ac:dyDescent="0.25">
      <c r="A82">
        <v>20250</v>
      </c>
      <c r="B82" s="1" cm="1">
        <f t="array" ref="B82">C82/linterp(A82,atmos_h,atmos_vela)</f>
        <v>0.27308818001570206</v>
      </c>
      <c r="C82" s="2" cm="1">
        <f t="array" ref="C82">SQRT((2/linterp(A82,atmos_h,atmos_rho))*(900/37.8)*(1/1.35))</f>
        <v>167.59216791428622</v>
      </c>
      <c r="D82">
        <v>0.55000000000000004</v>
      </c>
      <c r="E82" cm="1">
        <f t="array" ref="E82">260/linterp(A82,atmos_h,atmos_sqrtdr)</f>
        <v>357.68331269775763</v>
      </c>
      <c r="F82" s="1" cm="1">
        <f t="array" ref="F82">IF(E82/linterp(A82,atmos_h,atmos_vela)&gt;D82,D82,E82/linterp(A82,atmos_h,atmos_vela))</f>
        <v>0.55000000000000004</v>
      </c>
    </row>
    <row r="83" spans="1:6" x14ac:dyDescent="0.25">
      <c r="A83">
        <v>20500</v>
      </c>
      <c r="B83" s="1" cm="1">
        <f t="array" ref="B83">C83/linterp(A83,atmos_h,atmos_vela)</f>
        <v>0.27452700621777348</v>
      </c>
      <c r="C83" s="2" cm="1">
        <f t="array" ref="C83">SQRT((2/linterp(A83,atmos_h,atmos_rho))*(900/37.8)*(1/1.35))</f>
        <v>168.30564433696151</v>
      </c>
      <c r="D83">
        <v>0.55000000000000004</v>
      </c>
      <c r="E83" cm="1">
        <f t="array" ref="E83">260/linterp(A83,atmos_h,atmos_sqrtdr)</f>
        <v>359.21525283227413</v>
      </c>
      <c r="F83" s="1" cm="1">
        <f t="array" ref="F83">IF(E83/linterp(A83,atmos_h,atmos_vela)&gt;D83,D83,E83/linterp(A83,atmos_h,atmos_vela))</f>
        <v>0.55000000000000004</v>
      </c>
    </row>
    <row r="84" spans="1:6" x14ac:dyDescent="0.25">
      <c r="A84">
        <v>20750</v>
      </c>
      <c r="B84" s="1" cm="1">
        <f t="array" ref="B84">C84/linterp(A84,atmos_h,atmos_vela)</f>
        <v>0.27598373979321772</v>
      </c>
      <c r="C84" s="2" cm="1">
        <f t="array" ref="C84">SQRT((2/linterp(A84,atmos_h,atmos_rho))*(900/37.8)*(1/1.35))</f>
        <v>169.02831131440465</v>
      </c>
      <c r="D84">
        <v>0.55000000000000004</v>
      </c>
      <c r="E84" cm="1">
        <f t="array" ref="E84">260/linterp(A84,atmos_h,atmos_sqrtdr)</f>
        <v>360.76037186069101</v>
      </c>
      <c r="F84" s="1" cm="1">
        <f t="array" ref="F84">IF(E84/linterp(A84,atmos_h,atmos_vela)&gt;D84,D84,E84/linterp(A84,atmos_h,atmos_vela))</f>
        <v>0.55000000000000004</v>
      </c>
    </row>
    <row r="85" spans="1:6" x14ac:dyDescent="0.25">
      <c r="A85">
        <v>21000</v>
      </c>
      <c r="B85" s="1" cm="1">
        <f t="array" ref="B85">C85/linterp(A85,atmos_h,atmos_vela)</f>
        <v>0.27745876024438726</v>
      </c>
      <c r="C85" s="2" cm="1">
        <f t="array" ref="C85">SQRT((2/linterp(A85,atmos_h,atmos_rho))*(900/37.8)*(1/1.35))</f>
        <v>169.76036786792591</v>
      </c>
      <c r="D85">
        <v>0.55000000000000004</v>
      </c>
      <c r="E85" cm="1">
        <f t="array" ref="E85">260/linterp(A85,atmos_h,atmos_sqrtdr)</f>
        <v>362.31884057971013</v>
      </c>
      <c r="F85" s="1" cm="1">
        <f t="array" ref="F85">IF(E85/linterp(A85,atmos_h,atmos_vela)&gt;D85,D85,E85/linterp(A85,atmos_h,atmos_vela))</f>
        <v>0.55000000000000004</v>
      </c>
    </row>
    <row r="86" spans="1:6" x14ac:dyDescent="0.25">
      <c r="A86">
        <v>21250</v>
      </c>
      <c r="B86" s="1" cm="1">
        <f t="array" ref="B86">C86/linterp(A86,atmos_h,atmos_vela)</f>
        <v>0.27892658157357841</v>
      </c>
      <c r="C86" s="2" cm="1">
        <f t="array" ref="C86">SQRT((2/linterp(A86,atmos_h,atmos_rho))*(900/37.8)*(1/1.35))</f>
        <v>170.48480787294866</v>
      </c>
      <c r="D86">
        <v>0.55000000000000004</v>
      </c>
      <c r="E86" cm="1">
        <f t="array" ref="E86">260/linterp(A86,atmos_h,atmos_sqrtdr)</f>
        <v>363.8781008362198</v>
      </c>
      <c r="F86" s="1" cm="1">
        <f t="array" ref="F86">IF(E86/linterp(A86,atmos_h,atmos_vela)&gt;D86,D86,E86/linterp(A86,atmos_h,atmos_vela))</f>
        <v>0.55000000000000004</v>
      </c>
    </row>
    <row r="87" spans="1:6" x14ac:dyDescent="0.25">
      <c r="A87">
        <v>21500</v>
      </c>
      <c r="B87" s="1" cm="1">
        <f t="array" ref="B87">C87/linterp(A87,atmos_h,atmos_vela)</f>
        <v>0.28041271584192584</v>
      </c>
      <c r="C87" s="2" cm="1">
        <f t="array" ref="C87">SQRT((2/linterp(A87,atmos_h,atmos_rho))*(900/37.8)*(1/1.35))</f>
        <v>171.21860222950073</v>
      </c>
      <c r="D87">
        <v>0.55000000000000004</v>
      </c>
      <c r="E87" cm="1">
        <f t="array" ref="E87">260/linterp(A87,atmos_h,atmos_sqrtdr)</f>
        <v>365.4508398341415</v>
      </c>
      <c r="F87" s="1" cm="1">
        <f t="array" ref="F87">IF(E87/linterp(A87,atmos_h,atmos_vela)&gt;D87,D87,E87/linterp(A87,atmos_h,atmos_vela))</f>
        <v>0.55000000000000004</v>
      </c>
    </row>
    <row r="88" spans="1:6" x14ac:dyDescent="0.25">
      <c r="A88">
        <v>21750</v>
      </c>
      <c r="B88" s="1" cm="1">
        <f t="array" ref="B88">C88/linterp(A88,atmos_h,atmos_vela)</f>
        <v>0.2819175520209814</v>
      </c>
      <c r="C88" s="2" cm="1">
        <f t="array" ref="C88">SQRT((2/linterp(A88,atmos_h,atmos_rho))*(900/37.8)*(1/1.35))</f>
        <v>171.96195400011811</v>
      </c>
      <c r="D88">
        <v>0.55000000000000004</v>
      </c>
      <c r="E88" cm="1">
        <f t="array" ref="E88">260/linterp(A88,atmos_h,atmos_sqrtdr)</f>
        <v>367.03723310393508</v>
      </c>
      <c r="F88" s="1" cm="1">
        <f t="array" ref="F88">IF(E88/linterp(A88,atmos_h,atmos_vela)&gt;D88,D88,E88/linterp(A88,atmos_h,atmos_vela))</f>
        <v>0.55000000000000004</v>
      </c>
    </row>
    <row r="89" spans="1:6" x14ac:dyDescent="0.25">
      <c r="A89">
        <v>22000</v>
      </c>
      <c r="B89" s="1" cm="1">
        <f t="array" ref="B89">C89/linterp(A89,atmos_h,atmos_vela)</f>
        <v>0.28344149088811599</v>
      </c>
      <c r="C89" s="2" cm="1">
        <f t="array" ref="C89">SQRT((2/linterp(A89,atmos_h,atmos_rho))*(900/37.8)*(1/1.35))</f>
        <v>172.71507247267348</v>
      </c>
      <c r="D89">
        <v>0.55000000000000004</v>
      </c>
      <c r="E89" cm="1">
        <f t="array" ref="E89">260/linterp(A89,atmos_h,atmos_sqrtdr)</f>
        <v>368.63745923720398</v>
      </c>
      <c r="F89" s="1" cm="1">
        <f t="array" ref="F89">IF(E89/linterp(A89,atmos_h,atmos_vela)&gt;D89,D89,E89/linterp(A89,atmos_h,atmos_vela))</f>
        <v>0.55000000000000004</v>
      </c>
    </row>
    <row r="90" spans="1:6" x14ac:dyDescent="0.25">
      <c r="A90">
        <v>22250</v>
      </c>
      <c r="B90" s="1" cm="1">
        <f t="array" ref="B90">C90/linterp(A90,atmos_h,atmos_vela)</f>
        <v>0.28492991544556934</v>
      </c>
      <c r="C90" s="2" cm="1">
        <f t="array" ref="C90">SQRT((2/linterp(A90,atmos_h,atmos_rho))*(900/37.8)*(1/1.35))</f>
        <v>173.44894905312449</v>
      </c>
      <c r="D90">
        <v>0.55000000000000004</v>
      </c>
      <c r="E90" cm="1">
        <f t="array" ref="E90">260/linterp(A90,atmos_h,atmos_sqrtdr)</f>
        <v>370.21216004556453</v>
      </c>
      <c r="F90" s="1" cm="1">
        <f t="array" ref="F90">IF(E90/linterp(A90,atmos_h,atmos_vela)&gt;D90,D90,E90/linterp(A90,atmos_h,atmos_vela))</f>
        <v>0.55000000000000004</v>
      </c>
    </row>
    <row r="91" spans="1:6" x14ac:dyDescent="0.25">
      <c r="A91">
        <v>22500</v>
      </c>
      <c r="B91" s="1" cm="1">
        <f t="array" ref="B91">C91/linterp(A91,atmos_h,atmos_vela)</f>
        <v>0.28643682849658975</v>
      </c>
      <c r="C91" s="2" cm="1">
        <f t="array" ref="C91">SQRT((2/linterp(A91,atmos_h,atmos_rho))*(900/37.8)*(1/1.35))</f>
        <v>174.19226069777361</v>
      </c>
      <c r="D91">
        <v>0.55000000000000004</v>
      </c>
      <c r="E91" cm="1">
        <f t="array" ref="E91">260/linterp(A91,atmos_h,atmos_sqrtdr)</f>
        <v>371.80037180037181</v>
      </c>
      <c r="F91" s="1" cm="1">
        <f t="array" ref="F91">IF(E91/linterp(A91,atmos_h,atmos_vela)&gt;D91,D91,E91/linterp(A91,atmos_h,atmos_vela))</f>
        <v>0.55000000000000004</v>
      </c>
    </row>
    <row r="92" spans="1:6" x14ac:dyDescent="0.25">
      <c r="A92">
        <v>22750</v>
      </c>
      <c r="B92" s="1" cm="1">
        <f t="array" ref="B92">C92/linterp(A92,atmos_h,atmos_vela)</f>
        <v>0.2879626211561363</v>
      </c>
      <c r="C92" s="2" cm="1">
        <f t="array" ref="C92">SQRT((2/linterp(A92,atmos_h,atmos_rho))*(900/37.8)*(1/1.35))</f>
        <v>174.94521132443458</v>
      </c>
      <c r="D92">
        <v>0.55000000000000004</v>
      </c>
      <c r="E92" cm="1">
        <f t="array" ref="E92">260/linterp(A92,atmos_h,atmos_sqrtdr)</f>
        <v>373.40226913686627</v>
      </c>
      <c r="F92" s="1" cm="1">
        <f t="array" ref="F92">IF(E92/linterp(A92,atmos_h,atmos_vela)&gt;D92,D92,E92/linterp(A92,atmos_h,atmos_vela))</f>
        <v>0.55000000000000004</v>
      </c>
    </row>
    <row r="93" spans="1:6" x14ac:dyDescent="0.25">
      <c r="A93">
        <v>23000</v>
      </c>
      <c r="B93" s="1" cm="1">
        <f t="array" ref="B93">C93/linterp(A93,atmos_h,atmos_vela)</f>
        <v>0.28950769636009005</v>
      </c>
      <c r="C93" s="2" cm="1">
        <f t="array" ref="C93">SQRT((2/linterp(A93,atmos_h,atmos_rho))*(900/37.8)*(1/1.35))</f>
        <v>175.70801107486585</v>
      </c>
      <c r="D93">
        <v>0.55000000000000004</v>
      </c>
      <c r="E93" cm="1">
        <f t="array" ref="E93">260/linterp(A93,atmos_h,atmos_sqrtdr)</f>
        <v>375.01802971296695</v>
      </c>
      <c r="F93" s="1" cm="1">
        <f t="array" ref="F93">IF(E93/linterp(A93,atmos_h,atmos_vela)&gt;D93,D93,E93/linterp(A93,atmos_h,atmos_vela))</f>
        <v>0.55000000000000004</v>
      </c>
    </row>
    <row r="94" spans="1:6" x14ac:dyDescent="0.25">
      <c r="A94">
        <v>23250</v>
      </c>
      <c r="B94" s="1" cm="1">
        <f t="array" ref="B94">C94/linterp(A94,atmos_h,atmos_vela)</f>
        <v>0.29105613605558633</v>
      </c>
      <c r="C94" s="2" cm="1">
        <f t="array" ref="C94">SQRT((2/linterp(A94,atmos_h,atmos_rho))*(900/37.8)*(1/1.35))</f>
        <v>176.46588000982172</v>
      </c>
      <c r="D94">
        <v>0.55000000000000004</v>
      </c>
      <c r="E94" cm="1">
        <f t="array" ref="E94">260/linterp(A94,atmos_h,atmos_sqrtdr)</f>
        <v>376.64783427495291</v>
      </c>
      <c r="F94" s="1" cm="1">
        <f t="array" ref="F94">IF(E94/linterp(A94,atmos_h,atmos_vela)&gt;D94,D94,E94/linterp(A94,atmos_h,atmos_vela))</f>
        <v>0.55000000000000004</v>
      </c>
    </row>
    <row r="95" spans="1:6" x14ac:dyDescent="0.25">
      <c r="A95">
        <v>23500</v>
      </c>
      <c r="B95" s="1" cm="1">
        <f t="array" ref="B95">C95/linterp(A95,atmos_h,atmos_vela)</f>
        <v>0.29262410371261632</v>
      </c>
      <c r="C95" s="2" cm="1">
        <f t="array" ref="C95">SQRT((2/linterp(A95,atmos_h,atmos_rho))*(900/37.8)*(1/1.35))</f>
        <v>177.23364089562031</v>
      </c>
      <c r="D95">
        <v>0.55000000000000004</v>
      </c>
      <c r="E95" cm="1">
        <f t="array" ref="E95">260/linterp(A95,atmos_h,atmos_sqrtdr)</f>
        <v>378.29186672486543</v>
      </c>
      <c r="F95" s="1" cm="1">
        <f t="array" ref="F95">IF(E95/linterp(A95,atmos_h,atmos_vela)&gt;D95,D95,E95/linterp(A95,atmos_h,atmos_vela))</f>
        <v>0.55000000000000004</v>
      </c>
    </row>
    <row r="96" spans="1:6" x14ac:dyDescent="0.25">
      <c r="A96">
        <v>23750</v>
      </c>
      <c r="B96" s="1" cm="1">
        <f t="array" ref="B96">C96/linterp(A96,atmos_h,atmos_vela)</f>
        <v>0.29421201862689678</v>
      </c>
      <c r="C96" s="2" cm="1">
        <f t="array" ref="C96">SQRT((2/linterp(A96,atmos_h,atmos_rho))*(900/37.8)*(1/1.35))</f>
        <v>178.01151081011074</v>
      </c>
      <c r="D96">
        <v>0.55000000000000004</v>
      </c>
      <c r="E96" cm="1">
        <f t="array" ref="E96">260/linterp(A96,atmos_h,atmos_sqrtdr)</f>
        <v>379.9503141896829</v>
      </c>
      <c r="F96" s="1" cm="1">
        <f t="array" ref="F96">IF(E96/linterp(A96,atmos_h,atmos_vela)&gt;D96,D96,E96/linterp(A96,atmos_h,atmos_vela))</f>
        <v>0.55000000000000004</v>
      </c>
    </row>
    <row r="97" spans="1:6" x14ac:dyDescent="0.25">
      <c r="A97">
        <v>24000</v>
      </c>
      <c r="B97" s="1" cm="1">
        <f t="array" ref="B97">C97/linterp(A97,atmos_h,atmos_vela)</f>
        <v>0.29582031296031996</v>
      </c>
      <c r="C97" s="2" cm="1">
        <f t="array" ref="C97">SQRT((2/linterp(A97,atmos_h,atmos_rho))*(900/37.8)*(1/1.35))</f>
        <v>178.79971355947657</v>
      </c>
      <c r="D97">
        <v>0.55000000000000004</v>
      </c>
      <c r="E97" cm="1">
        <f t="array" ref="E97">260/linterp(A97,atmos_h,atmos_sqrtdr)</f>
        <v>381.62336709232346</v>
      </c>
      <c r="F97" s="1" cm="1">
        <f t="array" ref="F97">IF(E97/linterp(A97,atmos_h,atmos_vela)&gt;D97,D97,E97/linterp(A97,atmos_h,atmos_vela))</f>
        <v>0.55000000000000004</v>
      </c>
    </row>
    <row r="98" spans="1:6" x14ac:dyDescent="0.25">
      <c r="A98">
        <v>24250</v>
      </c>
      <c r="B98" s="1" cm="1">
        <f t="array" ref="B98">C98/linterp(A98,atmos_h,atmos_vela)</f>
        <v>0.29739636625613597</v>
      </c>
      <c r="C98" s="2" cm="1">
        <f t="array" ref="C98">SQRT((2/linterp(A98,atmos_h,atmos_rho))*(900/37.8)*(1/1.35))</f>
        <v>179.5701564182018</v>
      </c>
      <c r="D98">
        <v>0.55000000000000004</v>
      </c>
      <c r="E98" cm="1">
        <f t="array" ref="E98">260/linterp(A98,atmos_h,atmos_sqrtdr)</f>
        <v>383.26884098028381</v>
      </c>
      <c r="F98" s="1" cm="1">
        <f t="array" ref="F98">IF(E98/linterp(A98,atmos_h,atmos_vela)&gt;D98,D98,E98/linterp(A98,atmos_h,atmos_vela))</f>
        <v>0.55000000000000004</v>
      </c>
    </row>
    <row r="99" spans="1:6" x14ac:dyDescent="0.25">
      <c r="A99">
        <v>24500</v>
      </c>
      <c r="B99" s="1" cm="1">
        <f t="array" ref="B99">C99/linterp(A99,atmos_h,atmos_vela)</f>
        <v>0.29899227502456521</v>
      </c>
      <c r="C99" s="2" cm="1">
        <f t="array" ref="C99">SQRT((2/linterp(A99,atmos_h,atmos_rho))*(900/37.8)*(1/1.35))</f>
        <v>180.3506453334426</v>
      </c>
      <c r="D99">
        <v>0.55000000000000004</v>
      </c>
      <c r="E99" cm="1">
        <f t="array" ref="E99">260/linterp(A99,atmos_h,atmos_sqrtdr)</f>
        <v>384.92856614109115</v>
      </c>
      <c r="F99" s="1" cm="1">
        <f t="array" ref="F99">IF(E99/linterp(A99,atmos_h,atmos_vela)&gt;D99,D99,E99/linterp(A99,atmos_h,atmos_vela))</f>
        <v>0.55000000000000004</v>
      </c>
    </row>
    <row r="100" spans="1:6" x14ac:dyDescent="0.25">
      <c r="A100">
        <v>24750</v>
      </c>
      <c r="B100" s="1" cm="1">
        <f t="array" ref="B100">C100/linterp(A100,atmos_h,atmos_vela)</f>
        <v>0.30060846530298158</v>
      </c>
      <c r="C100" s="2" cm="1">
        <f t="array" ref="C100">SQRT((2/linterp(A100,atmos_h,atmos_rho))*(900/37.8)*(1/1.35))</f>
        <v>181.14140054343389</v>
      </c>
      <c r="D100">
        <v>0.55000000000000004</v>
      </c>
      <c r="E100" cm="1">
        <f t="array" ref="E100">260/linterp(A100,atmos_h,atmos_sqrtdr)</f>
        <v>386.60272852310322</v>
      </c>
      <c r="F100" s="1" cm="1">
        <f t="array" ref="F100">IF(E100/linterp(A100,atmos_h,atmos_vela)&gt;D100,D100,E100/linterp(A100,atmos_h,atmos_vela))</f>
        <v>0.55000000000000004</v>
      </c>
    </row>
    <row r="101" spans="1:6" x14ac:dyDescent="0.25">
      <c r="A101">
        <v>25000</v>
      </c>
      <c r="B101" s="1" cm="1">
        <f t="array" ref="B101">C101/linterp(A101,atmos_h,atmos_vela)</f>
        <v>0.30224537619114528</v>
      </c>
      <c r="C101" s="2" cm="1">
        <f t="array" ref="C101">SQRT((2/linterp(A101,atmos_h,atmos_rho))*(900/37.8)*(1/1.35))</f>
        <v>181.94264910578372</v>
      </c>
      <c r="D101">
        <v>0.55000000000000004</v>
      </c>
      <c r="E101" cm="1">
        <f t="array" ref="E101">260/linterp(A101,atmos_h,atmos_sqrtdr)</f>
        <v>388.29151732377539</v>
      </c>
      <c r="F101" s="1" cm="1">
        <f t="array" ref="F101">IF(E101/linterp(A101,atmos_h,atmos_vela)&gt;D101,D101,E101/linterp(A101,atmos_h,atmos_vela))</f>
        <v>0.55000000000000004</v>
      </c>
    </row>
    <row r="102" spans="1:6" x14ac:dyDescent="0.25">
      <c r="A102">
        <v>25250</v>
      </c>
      <c r="B102" s="1" cm="1">
        <f t="array" ref="B102">C102/linterp(A102,atmos_h,atmos_vela)</f>
        <v>0.30389594380543483</v>
      </c>
      <c r="C102" s="2" cm="1">
        <f t="array" ref="C102">SQRT((2/linterp(A102,atmos_h,atmos_rho))*(900/37.8)*(1/1.35))</f>
        <v>182.74402710810071</v>
      </c>
      <c r="D102">
        <v>0.55000000000000004</v>
      </c>
      <c r="E102" cm="1">
        <f t="array" ref="E102">260/linterp(A102,atmos_h,atmos_sqrtdr)</f>
        <v>390.02437652353268</v>
      </c>
      <c r="F102" s="1" cm="1">
        <f t="array" ref="F102">IF(E102/linterp(A102,atmos_h,atmos_vela)&gt;D102,D102,E102/linterp(A102,atmos_h,atmos_vela))</f>
        <v>0.55000000000000004</v>
      </c>
    </row>
    <row r="103" spans="1:6" x14ac:dyDescent="0.25">
      <c r="A103">
        <v>25500</v>
      </c>
      <c r="B103" s="1" cm="1">
        <f t="array" ref="B103">C103/linterp(A103,atmos_h,atmos_vela)</f>
        <v>0.30556777189710588</v>
      </c>
      <c r="C103" s="2" cm="1">
        <f t="array" ref="C103">SQRT((2/linterp(A103,atmos_h,atmos_rho))*(900/37.8)*(1/1.35))</f>
        <v>183.55608841745101</v>
      </c>
      <c r="D103">
        <v>0.55000000000000004</v>
      </c>
      <c r="E103" cm="1">
        <f t="array" ref="E103">260/linterp(A103,atmos_h,atmos_sqrtdr)</f>
        <v>391.77277179236046</v>
      </c>
      <c r="F103" s="1" cm="1">
        <f t="array" ref="F103">IF(E103/linterp(A103,atmos_h,atmos_vela)&gt;D103,D103,E103/linterp(A103,atmos_h,atmos_vela))</f>
        <v>0.55000000000000004</v>
      </c>
    </row>
    <row r="104" spans="1:6" x14ac:dyDescent="0.25">
      <c r="A104">
        <v>25750</v>
      </c>
      <c r="B104" s="1" cm="1">
        <f t="array" ref="B104">C104/linterp(A104,atmos_h,atmos_vela)</f>
        <v>0.30726132680879492</v>
      </c>
      <c r="C104" s="2" cm="1">
        <f t="array" ref="C104">SQRT((2/linterp(A104,atmos_h,atmos_rho))*(900/37.8)*(1/1.35))</f>
        <v>184.3790725314706</v>
      </c>
      <c r="D104">
        <v>0.55000000000000004</v>
      </c>
      <c r="E104" cm="1">
        <f t="array" ref="E104">260/linterp(A104,atmos_h,atmos_sqrtdr)</f>
        <v>393.53691300563821</v>
      </c>
      <c r="F104" s="1" cm="1">
        <f t="array" ref="F104">IF(E104/linterp(A104,atmos_h,atmos_vela)&gt;D104,D104,E104/linterp(A104,atmos_h,atmos_vela))</f>
        <v>0.55000000000000004</v>
      </c>
    </row>
    <row r="105" spans="1:6" x14ac:dyDescent="0.25">
      <c r="A105">
        <v>26000</v>
      </c>
      <c r="B105" s="1" cm="1">
        <f t="array" ref="B105">C105/linterp(A105,atmos_h,atmos_vela)</f>
        <v>0.30897708950435793</v>
      </c>
      <c r="C105" s="2" cm="1">
        <f t="array" ref="C105">SQRT((2/linterp(A105,atmos_h,atmos_rho))*(900/37.8)*(1/1.35))</f>
        <v>185.21322653249234</v>
      </c>
      <c r="D105">
        <v>0.55000000000000004</v>
      </c>
      <c r="E105" cm="1">
        <f t="array" ref="E105">260/linterp(A105,atmos_h,atmos_sqrtdr)</f>
        <v>395.3170138360955</v>
      </c>
      <c r="F105" s="1" cm="1">
        <f t="array" ref="F105">IF(E105/linterp(A105,atmos_h,atmos_vela)&gt;D105,D105,E105/linterp(A105,atmos_h,atmos_vela))</f>
        <v>0.55000000000000004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4597-E842-4D25-BAAA-4F3D7572B318}">
  <dimension ref="A1"/>
  <sheetViews>
    <sheetView topLeftCell="D1" workbookViewId="0">
      <selection activeCell="K38" sqref="K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92B36-94F6-4BEB-8E73-CF848209D288}">
  <dimension ref="A1"/>
  <sheetViews>
    <sheetView workbookViewId="0">
      <selection activeCell="S28" sqref="S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AE3B4-1900-4B50-AD26-B62FA2C28AF6}">
  <dimension ref="A1"/>
  <sheetViews>
    <sheetView tabSelected="1" workbookViewId="0">
      <selection activeCell="L35" sqref="L35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Altitude Table</vt:lpstr>
      <vt:lpstr>Numbers</vt:lpstr>
      <vt:lpstr>Chart A</vt:lpstr>
      <vt:lpstr>Chart B</vt:lpstr>
      <vt:lpstr>Chart C</vt:lpstr>
      <vt:lpstr>atmos_aspeed</vt:lpstr>
      <vt:lpstr>atmos_dr</vt:lpstr>
      <vt:lpstr>atmos_h</vt:lpstr>
      <vt:lpstr>atmos_qms</vt:lpstr>
      <vt:lpstr>atmos_rho</vt:lpstr>
      <vt:lpstr>atmos_sqrtdr</vt:lpstr>
      <vt:lpstr>atmos_vela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2024-02-05T23:42:34Z</dcterms:modified>
</cp:coreProperties>
</file>